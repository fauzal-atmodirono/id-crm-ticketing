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CP Cost Estimation" sheetId="1" state="visible" r:id="rId1"/>
    <sheet xmlns:r="http://schemas.openxmlformats.org/officeDocument/2006/relationships" name="Timeline" sheetId="2" state="visible" r:id="rId2"/>
    <sheet xmlns:r="http://schemas.openxmlformats.org/officeDocument/2006/relationships" name="PS Util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[$USD ]#,##0.00"/>
    <numFmt numFmtId="165" formatCode="[$IDR ]#,##0.00"/>
    <numFmt numFmtId="166" formatCode="[$Rp ]#,##0"/>
  </numFmts>
  <fonts count="13">
    <font>
      <name val="Calibri"/>
      <family val="2"/>
      <color theme="1"/>
      <sz val="11"/>
      <scheme val="minor"/>
    </font>
    <font>
      <name val="Arial"/>
      <color rgb="FF999999"/>
      <sz val="9"/>
    </font>
    <font>
      <name val="Arial"/>
      <b val="1"/>
      <sz val="10"/>
    </font>
    <font>
      <name val="Arial"/>
      <b val="1"/>
      <color rgb="FFFFFFFF"/>
      <sz val="10"/>
    </font>
    <font>
      <name val="Arial"/>
      <sz val="10"/>
    </font>
    <font>
      <name val="Google Sans"/>
      <b val="1"/>
      <color rgb="FFFFFFFF"/>
      <sz val="10"/>
    </font>
    <font>
      <name val="Google Sans"/>
      <b val="1"/>
      <color rgb="FF666666"/>
      <sz val="10"/>
    </font>
    <font>
      <name val="Google Sans"/>
      <color rgb="FF666666"/>
      <sz val="10"/>
    </font>
    <font>
      <name val="Google Sans"/>
      <b val="1"/>
      <sz val="9"/>
    </font>
    <font>
      <name val="Google Sans"/>
      <b val="1"/>
      <color rgb="FFFFFFFF"/>
      <sz val="9"/>
    </font>
    <font>
      <name val="Google Sans"/>
      <sz val="9"/>
    </font>
    <font>
      <name val="Google Sans"/>
      <b val="1"/>
      <sz val="10"/>
    </font>
    <font>
      <name val="Google Sans"/>
      <sz val="10"/>
    </font>
  </fonts>
  <fills count="13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4285F4"/>
      </patternFill>
    </fill>
    <fill>
      <patternFill patternType="solid">
        <fgColor rgb="FFFFF2CC"/>
      </patternFill>
    </fill>
    <fill>
      <patternFill patternType="solid">
        <fgColor rgb="FF3C78D8"/>
      </patternFill>
    </fill>
    <fill>
      <patternFill patternType="solid">
        <fgColor rgb="FFCCCCCC"/>
      </patternFill>
    </fill>
    <fill>
      <patternFill patternType="solid">
        <fgColor rgb="FF9FC5F8"/>
      </patternFill>
    </fill>
    <fill>
      <patternFill patternType="solid">
        <fgColor rgb="FFE6E6E6"/>
      </patternFill>
    </fill>
    <fill>
      <patternFill patternType="solid">
        <fgColor rgb="FFFFFFFF"/>
      </patternFill>
    </fill>
    <fill>
      <patternFill patternType="solid">
        <fgColor rgb="FF274E13"/>
      </patternFill>
    </fill>
    <fill>
      <patternFill patternType="solid">
        <fgColor rgb="FFD9EAD3"/>
      </patternFill>
    </fill>
    <fill>
      <patternFill patternType="solid">
        <fgColor rgb="FFF4CCCC"/>
      </patternFill>
    </fill>
  </fills>
  <borders count="9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/>
      <bottom/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164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right" vertical="center"/>
    </xf>
    <xf numFmtId="164" fontId="2" fillId="4" borderId="1" applyAlignment="1" pivotButton="0" quotePrefix="0" xfId="0">
      <alignment horizontal="right" vertical="center"/>
    </xf>
    <xf numFmtId="165" fontId="2" fillId="4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0" fillId="0" borderId="7" pivotButton="0" quotePrefix="0" xfId="0"/>
    <xf numFmtId="0" fontId="0" fillId="0" borderId="8" pivotButton="0" quotePrefix="0" xfId="0"/>
    <xf numFmtId="0" fontId="6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vertical="center"/>
    </xf>
    <xf numFmtId="0" fontId="4" fillId="8" borderId="1" applyAlignment="1" pivotButton="0" quotePrefix="0" xfId="0">
      <alignment vertical="center"/>
    </xf>
    <xf numFmtId="0" fontId="8" fillId="9" borderId="0" applyAlignment="1" pivotButton="0" quotePrefix="0" xfId="0">
      <alignment horizontal="left" vertical="center"/>
    </xf>
    <xf numFmtId="0" fontId="8" fillId="9" borderId="0" applyAlignment="1" pivotButton="0" quotePrefix="0" xfId="0">
      <alignment horizontal="center" vertical="center" wrapText="1"/>
    </xf>
    <xf numFmtId="0" fontId="11" fillId="12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/>
    </xf>
    <xf numFmtId="0" fontId="9" fillId="10" borderId="0" applyAlignment="1" pivotButton="0" quotePrefix="0" xfId="0">
      <alignment horizontal="left" vertical="center"/>
    </xf>
    <xf numFmtId="166" fontId="10" fillId="11" borderId="0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left" vertical="center" wrapText="1"/>
    </xf>
    <xf numFmtId="3" fontId="12" fillId="0" borderId="1" applyAlignment="1" pivotButton="0" quotePrefix="0" xfId="0">
      <alignment horizontal="center" vertical="center"/>
    </xf>
    <xf numFmtId="166" fontId="11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9" fontId="12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9" fontId="2" fillId="11" borderId="0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166" fontId="2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30" customWidth="1" min="3" max="3"/>
    <col width="52" customWidth="1" min="4" max="4"/>
    <col width="15" customWidth="1" min="5" max="5"/>
    <col width="17" customWidth="1" min="6" max="6"/>
  </cols>
  <sheetData>
    <row r="1">
      <c r="A1" s="1" t="n">
        <v>16500</v>
      </c>
    </row>
    <row r="2">
      <c r="B2" s="2" t="inlineStr">
        <is>
          <t>PROTON CRM — Monthly Recurring (one production tenant)</t>
        </is>
      </c>
      <c r="C2" s="3" t="n"/>
      <c r="D2" s="3" t="n"/>
      <c r="E2" s="3" t="n"/>
      <c r="F2" s="4" t="n"/>
    </row>
    <row r="3">
      <c r="B3" s="5" t="inlineStr">
        <is>
          <t>No</t>
        </is>
      </c>
      <c r="C3" s="5" t="inlineStr">
        <is>
          <t>GCP Component</t>
        </is>
      </c>
      <c r="D3" s="5" t="inlineStr">
        <is>
          <t>Component Details</t>
        </is>
      </c>
      <c r="E3" s="5" t="inlineStr">
        <is>
          <t>Price (USD)</t>
        </is>
      </c>
      <c r="F3" s="5" t="inlineStr">
        <is>
          <t>Price (IDR)</t>
        </is>
      </c>
    </row>
    <row r="4" ht="42" customHeight="1">
      <c r="B4" s="6" t="n">
        <v>1</v>
      </c>
      <c r="C4" s="7" t="inlineStr">
        <is>
          <t>Google Kubernetes Engine (Standard) — cluster</t>
        </is>
      </c>
      <c r="D4" s="7" t="inlineStr">
        <is>
          <t>Region: Singapore (asia-southeast1)
Regional cluster management fee ($0.10/cluster/hr)
Multi-tenant: per-tenant namespaces + node pools</t>
        </is>
      </c>
      <c r="E4" s="8" t="n">
        <v>73</v>
      </c>
      <c r="F4" s="9">
        <f>E4*A$1</f>
        <v/>
      </c>
    </row>
    <row r="5" ht="28" customHeight="1">
      <c r="B5" s="6" t="n">
        <v>2</v>
      </c>
      <c r="C5" s="7" t="inlineStr">
        <is>
          <t>Google Kubernetes Engine (Standard) — node pool</t>
        </is>
      </c>
      <c r="D5" s="7" t="inlineStr">
        <is>
          <t>3 × e2-standard-4 (vCPUs: 4, RAM: 16 GiB), on-demand
Runs Chatwoot (Rails+Sidekiq), agent &amp; backend (FastAPI)</t>
        </is>
      </c>
      <c r="E5" s="8" t="n">
        <v>362.01</v>
      </c>
      <c r="F5" s="9">
        <f>E5*A$1</f>
        <v/>
      </c>
    </row>
    <row r="6" ht="70" customHeight="1">
      <c r="B6" s="6" t="n">
        <v>3</v>
      </c>
      <c r="C6" s="7" t="inlineStr">
        <is>
          <t>Cloud SQL for PostgreSQL (HA)</t>
        </is>
      </c>
      <c r="D6" s="7" t="inlineStr">
        <is>
          <t>Region: Singapore (asia-southeast1)
Enterprise edition, regional HA
Machine: 2 vCPU / 8 GiB RAM
Storage: 100 GB SSD
Chatwoot DB + per-tenant pgvector KB</t>
        </is>
      </c>
      <c r="E6" s="8" t="n">
        <v>300</v>
      </c>
      <c r="F6" s="9">
        <f>E6*A$1</f>
        <v/>
      </c>
    </row>
    <row r="7" ht="42" customHeight="1">
      <c r="B7" s="6" t="n">
        <v>4</v>
      </c>
      <c r="C7" s="7" t="inlineStr">
        <is>
          <t>Memorystore for Redis (HA)</t>
        </is>
      </c>
      <c r="D7" s="7" t="inlineStr">
        <is>
          <t>Standard tier (auto-failover replica)
Capacity: 4 GB
Sidekiq queues / cache</t>
        </is>
      </c>
      <c r="E7" s="8" t="n">
        <v>181.04</v>
      </c>
      <c r="F7" s="9">
        <f>E7*A$1</f>
        <v/>
      </c>
    </row>
    <row r="8" ht="42" customHeight="1">
      <c r="B8" s="6" t="n">
        <v>5</v>
      </c>
      <c r="C8" s="7" t="inlineStr">
        <is>
          <t>Vertex AI — Gemini 2.5 Flash + Vertex AI Search</t>
        </is>
      </c>
      <c r="D8" s="7" t="inlineStr">
        <is>
          <t>Usage-based (indicative)
~5,000 AI conversations/mo (~8k in + ~1.5k out tokens)
~5,000 grounded KB queries/mo</t>
        </is>
      </c>
      <c r="E8" s="8" t="n">
        <v>50.75</v>
      </c>
      <c r="F8" s="9">
        <f>E8*A$1</f>
        <v/>
      </c>
    </row>
    <row r="9" ht="42" customHeight="1">
      <c r="B9" s="6" t="n">
        <v>6</v>
      </c>
      <c r="C9" s="7" t="inlineStr">
        <is>
          <t>Cloud Storage</t>
        </is>
      </c>
      <c r="D9" s="7" t="inlineStr">
        <is>
          <t>Region: Singapore (asia-southeast1)
Class: Standard · 100 GB + modest egress
Attachments / exports</t>
        </is>
      </c>
      <c r="E9" s="8" t="n">
        <v>8.300000000000001</v>
      </c>
      <c r="F9" s="9">
        <f>E9*A$1</f>
        <v/>
      </c>
    </row>
    <row r="10" ht="28" customHeight="1">
      <c r="B10" s="6" t="n">
        <v>7</v>
      </c>
      <c r="C10" s="7" t="inlineStr">
        <is>
          <t>Networking — Cloud Load Balancing + egress</t>
        </is>
      </c>
      <c r="D10" s="7" t="inlineStr">
        <is>
          <t>1 external HTTP(S) forwarding rule + data processing
~100 GB internet egress/mo</t>
        </is>
      </c>
      <c r="E10" s="8" t="n">
        <v>31.85</v>
      </c>
      <c r="F10" s="9">
        <f>E10*A$1</f>
        <v/>
      </c>
    </row>
    <row r="11" ht="28" customHeight="1">
      <c r="B11" s="6" t="n">
        <v>8</v>
      </c>
      <c r="C11" s="7" t="inlineStr">
        <is>
          <t>Cloud Logging + Cloud Monitoring</t>
        </is>
      </c>
      <c r="D11" s="7" t="inlineStr">
        <is>
          <t>~100 GB log ingest/mo (first 50 GB free)
Metrics + alerting</t>
        </is>
      </c>
      <c r="E11" s="8" t="n">
        <v>25</v>
      </c>
      <c r="F11" s="9">
        <f>E11*A$1</f>
        <v/>
      </c>
    </row>
    <row r="12" ht="14" customHeight="1">
      <c r="B12" s="6" t="n">
        <v>9</v>
      </c>
      <c r="C12" s="7" t="inlineStr">
        <is>
          <t>Secret Manager + Artifact Registry + Cloud Build + BigQuery</t>
        </is>
      </c>
      <c r="D12" s="7" t="inlineStr">
        <is>
          <t>Secrets · container images · CI builds · analytics warehouse (storage + query)</t>
        </is>
      </c>
      <c r="E12" s="8" t="n">
        <v>17.25</v>
      </c>
      <c r="F12" s="9">
        <f>E12*A$1</f>
        <v/>
      </c>
    </row>
    <row r="13">
      <c r="B13" s="10" t="inlineStr">
        <is>
          <t>Total Price Estimation Per-Month</t>
        </is>
      </c>
      <c r="C13" s="3" t="n"/>
      <c r="D13" s="4" t="n"/>
      <c r="E13" s="11">
        <f>SUM(E4:E12)</f>
        <v/>
      </c>
      <c r="F13" s="12">
        <f>SUM(F4:F12)</f>
        <v/>
      </c>
    </row>
    <row r="14">
      <c r="B14" s="10" t="inlineStr">
        <is>
          <t>Total Price Estimation Per-Year</t>
        </is>
      </c>
      <c r="C14" s="3" t="n"/>
      <c r="D14" s="4" t="n"/>
      <c r="E14" s="11">
        <f>E13*12</f>
        <v/>
      </c>
      <c r="F14" s="12">
        <f>F13*12</f>
        <v/>
      </c>
    </row>
    <row r="15">
      <c r="B15" s="13" t="inlineStr">
        <is>
          <t>Calculator Link:  https://cloud.google.com/products/calculator</t>
        </is>
      </c>
      <c r="C15" s="3" t="n"/>
      <c r="D15" s="3" t="n"/>
      <c r="E15" s="3" t="n"/>
      <c r="F15" s="4" t="n"/>
    </row>
    <row r="17">
      <c r="B17" s="2" t="inlineStr">
        <is>
          <t>One-time — Migration Period *</t>
        </is>
      </c>
      <c r="C17" s="3" t="n"/>
      <c r="D17" s="3" t="n"/>
      <c r="E17" s="3" t="n"/>
      <c r="F17" s="4" t="n"/>
    </row>
    <row r="18">
      <c r="B18" s="5" t="inlineStr">
        <is>
          <t>No</t>
        </is>
      </c>
      <c r="C18" s="5" t="inlineStr">
        <is>
          <t>GCP Component</t>
        </is>
      </c>
      <c r="D18" s="5" t="inlineStr">
        <is>
          <t>Component Details</t>
        </is>
      </c>
      <c r="E18" s="5" t="inlineStr">
        <is>
          <t>Price (USD)</t>
        </is>
      </c>
      <c r="F18" s="5" t="inlineStr">
        <is>
          <t>Price (IDR)</t>
        </is>
      </c>
    </row>
    <row r="19" ht="14" customHeight="1">
      <c r="B19" s="6" t="n">
        <v>1</v>
      </c>
      <c r="C19" s="7" t="inlineStr">
        <is>
          <t>Cloud Storage — migration staging</t>
        </is>
      </c>
      <c r="D19" s="7" t="inlineStr">
        <is>
          <t>Zendesk export staging bucket (Standard, ~50 GB, short-lived)</t>
        </is>
      </c>
      <c r="E19" s="8" t="n">
        <v>5</v>
      </c>
      <c r="F19" s="9">
        <f>E19*A$1</f>
        <v/>
      </c>
    </row>
    <row r="20" ht="14" customHeight="1">
      <c r="B20" s="6" t="n">
        <v>2</v>
      </c>
      <c r="C20" s="7" t="inlineStr">
        <is>
          <t>Data transfer / egress — migration</t>
        </is>
      </c>
      <c r="D20" s="7" t="inlineStr">
        <is>
          <t>One-time import/export bandwidth for tickets, contacts, KB, attachments</t>
        </is>
      </c>
      <c r="E20" s="8" t="n">
        <v>15</v>
      </c>
      <c r="F20" s="9">
        <f>E20*A$1</f>
        <v/>
      </c>
    </row>
    <row r="21" ht="14" customHeight="1">
      <c r="B21" s="6" t="n">
        <v>3</v>
      </c>
      <c r="C21" s="7" t="inlineStr">
        <is>
          <t>Temporary migration compute</t>
        </is>
      </c>
      <c r="D21" s="7" t="inlineStr">
        <is>
          <t>Short-lived job for bulk import + KB ingest into Vertex AI Search / pgvector</t>
        </is>
      </c>
      <c r="E21" s="8" t="n">
        <v>20</v>
      </c>
      <c r="F21" s="9">
        <f>E21*A$1</f>
        <v/>
      </c>
    </row>
    <row r="22">
      <c r="B22" s="10" t="inlineStr">
        <is>
          <t>Total Price Estimation Per-Month</t>
        </is>
      </c>
      <c r="C22" s="3" t="n"/>
      <c r="D22" s="4" t="n"/>
      <c r="E22" s="11">
        <f>SUM(E19:E21)</f>
        <v/>
      </c>
      <c r="F22" s="12">
        <f>SUM(F19:F21)</f>
        <v/>
      </c>
    </row>
    <row r="23">
      <c r="B23" s="10" t="inlineStr">
        <is>
          <t>Total Price Estimation Per-Year</t>
        </is>
      </c>
      <c r="C23" s="3" t="n"/>
      <c r="D23" s="4" t="n"/>
      <c r="E23" s="11">
        <f>E22*12</f>
        <v/>
      </c>
      <c r="F23" s="12">
        <f>F22*12</f>
        <v/>
      </c>
    </row>
    <row r="24">
      <c r="B24" s="13" t="inlineStr">
        <is>
          <t>Calculator Link:  https://cloud.google.com/products/calculator</t>
        </is>
      </c>
      <c r="C24" s="3" t="n"/>
      <c r="D24" s="3" t="n"/>
      <c r="E24" s="3" t="n"/>
      <c r="F24" s="4" t="n"/>
    </row>
    <row r="25">
      <c r="B25" s="14" t="inlineStr">
        <is>
          <t>*one time only during migration process</t>
        </is>
      </c>
    </row>
    <row r="27" ht="52" customHeight="1">
      <c r="B27" s="15" t="inlineStr">
        <is>
          <t>IDR shown at USD→IDR = cell A1 (16,500, editable). Indicative GCP list price (Jul 2026, asia-southeast1 / Singapore — nearest full-service region; Malaysia region not yet GA). Excludes negotiated discounts, taxes &amp; Google program funding. 1-yr committed-use discount lowers nodes ~$233 → ~$920/mo total. Infrastructure is unchanged from the baseline workbook — it carries the whole platform, so it is not split between this scope and the Packages A-G scope.</t>
        </is>
      </c>
    </row>
  </sheetData>
  <mergeCells count="9">
    <mergeCell ref="B14:D14"/>
    <mergeCell ref="B24:F24"/>
    <mergeCell ref="B2:F2"/>
    <mergeCell ref="B23:D23"/>
    <mergeCell ref="B15:F15"/>
    <mergeCell ref="B22:D22"/>
    <mergeCell ref="B13:D13"/>
    <mergeCell ref="B17:F17"/>
    <mergeCell ref="B27:F27"/>
  </mergeCells>
  <pageMargins left="0.2" right="0.2" top="0.3" bottom="0.3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R30"/>
  <sheetViews>
    <sheetView showGridLines="0" workbookViewId="0">
      <selection activeCell="A1" sqref="A1"/>
    </sheetView>
  </sheetViews>
  <sheetFormatPr baseColWidth="8" defaultRowHeight="15"/>
  <cols>
    <col width="4" customWidth="1" min="2" max="2"/>
    <col width="5" customWidth="1" min="3" max="3"/>
    <col width="46" customWidth="1" min="4" max="4"/>
    <col width="3.8" customWidth="1" min="5" max="5"/>
    <col width="3.8" customWidth="1" min="6" max="6"/>
    <col width="3.8" customWidth="1" min="7" max="7"/>
    <col width="3.8" customWidth="1" min="8" max="8"/>
    <col width="3.8" customWidth="1" min="9" max="9"/>
    <col width="3.8" customWidth="1" min="10" max="10"/>
    <col width="3.8" customWidth="1" min="11" max="11"/>
    <col width="3.8" customWidth="1" min="12" max="12"/>
    <col width="3.8" customWidth="1" min="13" max="13"/>
    <col width="3.8" customWidth="1" min="14" max="14"/>
    <col width="3.8" customWidth="1" min="15" max="15"/>
    <col width="3.8" customWidth="1" min="16" max="16"/>
    <col width="3.8" customWidth="1" min="17" max="17"/>
    <col width="3.8" customWidth="1" min="18" max="18"/>
  </cols>
  <sheetData>
    <row r="2">
      <c r="B2" s="16" t="inlineStr">
        <is>
          <t>Phases</t>
        </is>
      </c>
      <c r="C2" s="4" t="n"/>
      <c r="D2" s="16" t="inlineStr">
        <is>
          <t>Task</t>
        </is>
      </c>
      <c r="E2" s="16" t="inlineStr">
        <is>
          <t>W1</t>
        </is>
      </c>
      <c r="F2" s="16" t="inlineStr">
        <is>
          <t>W2</t>
        </is>
      </c>
      <c r="G2" s="16" t="inlineStr">
        <is>
          <t>W3</t>
        </is>
      </c>
      <c r="H2" s="16" t="inlineStr">
        <is>
          <t>W4</t>
        </is>
      </c>
      <c r="I2" s="16" t="inlineStr">
        <is>
          <t>W5</t>
        </is>
      </c>
      <c r="J2" s="16" t="inlineStr">
        <is>
          <t>W6</t>
        </is>
      </c>
      <c r="K2" s="16" t="inlineStr">
        <is>
          <t>W7</t>
        </is>
      </c>
      <c r="L2" s="16" t="inlineStr">
        <is>
          <t>W8</t>
        </is>
      </c>
      <c r="M2" s="16" t="inlineStr">
        <is>
          <t>W9</t>
        </is>
      </c>
      <c r="N2" s="16" t="inlineStr">
        <is>
          <t>W10</t>
        </is>
      </c>
      <c r="O2" s="16" t="inlineStr">
        <is>
          <t>W11</t>
        </is>
      </c>
      <c r="P2" s="16" t="inlineStr">
        <is>
          <t>W12</t>
        </is>
      </c>
      <c r="Q2" s="16" t="inlineStr">
        <is>
          <t>W13</t>
        </is>
      </c>
      <c r="R2" s="16" t="inlineStr">
        <is>
          <t>W14</t>
        </is>
      </c>
    </row>
    <row r="3">
      <c r="B3" s="17" t="inlineStr">
        <is>
          <t>GCP Foundation &amp; Provisioning</t>
        </is>
      </c>
      <c r="C3" s="3" t="n"/>
      <c r="D3" s="4" t="n"/>
      <c r="E3" s="18" t="n"/>
      <c r="F3" s="18" t="n"/>
      <c r="G3" s="18" t="n"/>
      <c r="H3" s="18" t="n"/>
      <c r="I3" s="18" t="n"/>
      <c r="J3" s="18" t="n"/>
      <c r="K3" s="18" t="n"/>
      <c r="L3" s="18" t="n"/>
      <c r="M3" s="18" t="n"/>
      <c r="N3" s="18" t="n"/>
      <c r="O3" s="18" t="n"/>
      <c r="P3" s="18" t="n"/>
      <c r="Q3" s="18" t="n"/>
      <c r="R3" s="18" t="n"/>
    </row>
    <row r="4" ht="26" customHeight="1">
      <c r="B4" s="19" t="inlineStr">
        <is>
          <t>1.0</t>
        </is>
      </c>
      <c r="C4" s="20" t="inlineStr">
        <is>
          <t>1.1</t>
        </is>
      </c>
      <c r="D4" s="21" t="inlineStr">
        <is>
          <t>Provision GCP project, VPC, IAM, GKE Standard cluster + node pools</t>
        </is>
      </c>
      <c r="E4" s="22" t="n"/>
      <c r="F4" s="22" t="n"/>
      <c r="G4" s="23" t="n"/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  <c r="Q4" s="23" t="n"/>
      <c r="R4" s="23" t="n"/>
    </row>
    <row r="5" ht="26" customHeight="1">
      <c r="B5" s="24" t="n"/>
      <c r="C5" s="20" t="inlineStr">
        <is>
          <t>1.2</t>
        </is>
      </c>
      <c r="D5" s="21" t="inlineStr">
        <is>
          <t>Cloud SQL, Memorystore, BigQuery, Artifact Registry; CI/CD, Secret Manager, monitoring baseline</t>
        </is>
      </c>
      <c r="E5" s="23" t="n"/>
      <c r="F5" s="22" t="n"/>
      <c r="G5" s="22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23" t="n"/>
    </row>
    <row r="6" ht="26" customHeight="1">
      <c r="B6" s="25" t="n"/>
      <c r="C6" s="20" t="inlineStr">
        <is>
          <t>1.3</t>
        </is>
      </c>
      <c r="D6" s="21" t="inlineStr">
        <is>
          <t>Re-platform Chatwoot + agent + backend from Docker Compose to GKE manifests</t>
        </is>
      </c>
      <c r="E6" s="23" t="n"/>
      <c r="F6" s="22" t="n"/>
      <c r="G6" s="22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23" t="n"/>
    </row>
    <row r="7">
      <c r="B7" s="26" t="inlineStr">
        <is>
          <t>Data Migration &amp; Channel Cutover</t>
        </is>
      </c>
      <c r="C7" s="3" t="n"/>
      <c r="D7" s="4" t="n"/>
      <c r="E7" s="27" t="n"/>
      <c r="F7" s="27" t="n"/>
      <c r="G7" s="27" t="n"/>
      <c r="H7" s="27" t="n"/>
      <c r="I7" s="27" t="n"/>
      <c r="J7" s="27" t="n"/>
      <c r="K7" s="27" t="n"/>
      <c r="L7" s="27" t="n"/>
      <c r="M7" s="27" t="n"/>
      <c r="N7" s="27" t="n"/>
      <c r="O7" s="27" t="n"/>
      <c r="P7" s="27" t="n"/>
      <c r="Q7" s="27" t="n"/>
      <c r="R7" s="27" t="n"/>
    </row>
    <row r="8" ht="26" customHeight="1">
      <c r="B8" s="19" t="inlineStr">
        <is>
          <t>2.0</t>
        </is>
      </c>
      <c r="C8" s="20" t="inlineStr">
        <is>
          <t>2.1</t>
        </is>
      </c>
      <c r="D8" s="21" t="inlineStr">
        <is>
          <t>Zendesk extract, field mapping &amp; bulk import (tickets, contacts, attachments)</t>
        </is>
      </c>
      <c r="E8" s="23" t="n"/>
      <c r="F8" s="23" t="n"/>
      <c r="G8" s="23" t="n"/>
      <c r="H8" s="22" t="n"/>
      <c r="I8" s="22" t="n"/>
      <c r="J8" s="23" t="n"/>
      <c r="K8" s="23" t="n"/>
      <c r="L8" s="23" t="n"/>
      <c r="M8" s="23" t="n"/>
      <c r="N8" s="23" t="n"/>
      <c r="O8" s="23" t="n"/>
      <c r="P8" s="23" t="n"/>
      <c r="Q8" s="23" t="n"/>
      <c r="R8" s="23" t="n"/>
    </row>
    <row r="9" ht="26" customHeight="1">
      <c r="B9" s="24" t="n"/>
      <c r="C9" s="20" t="inlineStr">
        <is>
          <t>2.2</t>
        </is>
      </c>
      <c r="D9" s="21" t="inlineStr">
        <is>
          <t>KB migration to pgvector + Vertex AI Search corpus</t>
        </is>
      </c>
      <c r="E9" s="23" t="n"/>
      <c r="F9" s="23" t="n"/>
      <c r="G9" s="23" t="n"/>
      <c r="H9" s="22" t="n"/>
      <c r="I9" s="22" t="n"/>
      <c r="J9" s="23" t="n"/>
      <c r="K9" s="23" t="n"/>
      <c r="L9" s="23" t="n"/>
      <c r="M9" s="23" t="n"/>
      <c r="N9" s="23" t="n"/>
      <c r="O9" s="23" t="n"/>
      <c r="P9" s="23" t="n"/>
      <c r="Q9" s="23" t="n"/>
      <c r="R9" s="23" t="n"/>
    </row>
    <row r="10" ht="26" customHeight="1">
      <c r="B10" s="24" t="n"/>
      <c r="C10" s="20" t="inlineStr">
        <is>
          <t>2.3</t>
        </is>
      </c>
      <c r="D10" s="21" t="inlineStr">
        <is>
          <t>Re-wire WhatsApp (Twilio), Website, API &amp; Email inboxes on the new cluster</t>
        </is>
      </c>
      <c r="E10" s="23" t="n"/>
      <c r="F10" s="23" t="n"/>
      <c r="G10" s="23" t="n"/>
      <c r="H10" s="23" t="n"/>
      <c r="I10" s="22" t="n"/>
      <c r="J10" s="22" t="n"/>
      <c r="K10" s="23" t="n"/>
      <c r="L10" s="23" t="n"/>
      <c r="M10" s="23" t="n"/>
      <c r="N10" s="23" t="n"/>
      <c r="O10" s="23" t="n"/>
      <c r="P10" s="23" t="n"/>
      <c r="Q10" s="23" t="n"/>
      <c r="R10" s="23" t="n"/>
    </row>
    <row r="11" ht="26" customHeight="1">
      <c r="B11" s="25" t="n"/>
      <c r="C11" s="20" t="inlineStr">
        <is>
          <t>2.4</t>
        </is>
      </c>
      <c r="D11" s="21" t="inlineStr">
        <is>
          <t>Parallel-run (Zendesk + new CRM) &amp; data reconciliation</t>
        </is>
      </c>
      <c r="E11" s="23" t="n"/>
      <c r="F11" s="23" t="n"/>
      <c r="G11" s="23" t="n"/>
      <c r="H11" s="23" t="n"/>
      <c r="I11" s="23" t="n"/>
      <c r="J11" s="22" t="n"/>
      <c r="K11" s="22" t="n"/>
      <c r="L11" s="23" t="n"/>
      <c r="M11" s="23" t="n"/>
      <c r="N11" s="23" t="n"/>
      <c r="O11" s="23" t="n"/>
      <c r="P11" s="23" t="n"/>
      <c r="Q11" s="23" t="n"/>
      <c r="R11" s="23" t="n"/>
    </row>
    <row r="12">
      <c r="B12" s="17" t="inlineStr">
        <is>
          <t>Platform Features outside Packages A–G</t>
        </is>
      </c>
      <c r="C12" s="3" t="n"/>
      <c r="D12" s="4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  <c r="O12" s="18" t="n"/>
      <c r="P12" s="18" t="n"/>
      <c r="Q12" s="18" t="n"/>
      <c r="R12" s="18" t="n"/>
    </row>
    <row r="13" ht="26" customHeight="1">
      <c r="B13" s="19" t="inlineStr">
        <is>
          <t>3.0</t>
        </is>
      </c>
      <c r="C13" s="20" t="inlineStr">
        <is>
          <t>3.1</t>
        </is>
      </c>
      <c r="D13" s="21" t="inlineStr">
        <is>
          <t>Native SAML SSO — IdP metadata, ACS endpoint, JIT provisioning, Security settings UI</t>
        </is>
      </c>
      <c r="E13" s="23" t="n"/>
      <c r="F13" s="23" t="n"/>
      <c r="G13" s="22" t="n"/>
      <c r="H13" s="22" t="n"/>
      <c r="I13" s="22" t="n"/>
      <c r="J13" s="22" t="n"/>
      <c r="K13" s="23" t="n"/>
      <c r="L13" s="23" t="n"/>
      <c r="M13" s="23" t="n"/>
      <c r="N13" s="23" t="n"/>
      <c r="O13" s="23" t="n"/>
      <c r="P13" s="23" t="n"/>
      <c r="Q13" s="23" t="n"/>
      <c r="R13" s="23" t="n"/>
    </row>
    <row r="14" ht="26" customHeight="1">
      <c r="B14" s="24" t="n"/>
      <c r="C14" s="20" t="inlineStr">
        <is>
          <t>3.2</t>
        </is>
      </c>
      <c r="D14" s="21" t="inlineStr">
        <is>
          <t>RBAC phase 3 — native conversation-visibility scoping</t>
        </is>
      </c>
      <c r="E14" s="23" t="n"/>
      <c r="F14" s="23" t="n"/>
      <c r="G14" s="23" t="n"/>
      <c r="H14" s="23" t="n"/>
      <c r="I14" s="22" t="n"/>
      <c r="J14" s="22" t="n"/>
      <c r="K14" s="22" t="n"/>
      <c r="L14" s="22" t="n"/>
      <c r="M14" s="23" t="n"/>
      <c r="N14" s="23" t="n"/>
      <c r="O14" s="23" t="n"/>
      <c r="P14" s="23" t="n"/>
      <c r="Q14" s="23" t="n"/>
      <c r="R14" s="23" t="n"/>
    </row>
    <row r="15" ht="26" customHeight="1">
      <c r="B15" s="24" t="n"/>
      <c r="C15" s="20" t="inlineStr">
        <is>
          <t>3.3</t>
        </is>
      </c>
      <c r="D15" s="21" t="inlineStr">
        <is>
          <t>IVR-4 — voice-language reliability diagnosis &amp; fix</t>
        </is>
      </c>
      <c r="E15" s="23" t="n"/>
      <c r="F15" s="23" t="n"/>
      <c r="G15" s="23" t="n"/>
      <c r="H15" s="23" t="n"/>
      <c r="I15" s="23" t="n"/>
      <c r="J15" s="22" t="n"/>
      <c r="K15" s="22" t="n"/>
      <c r="L15" s="23" t="n"/>
      <c r="M15" s="23" t="n"/>
      <c r="N15" s="23" t="n"/>
      <c r="O15" s="23" t="n"/>
      <c r="P15" s="23" t="n"/>
      <c r="Q15" s="23" t="n"/>
      <c r="R15" s="23" t="n"/>
    </row>
    <row r="16" ht="26" customHeight="1">
      <c r="B16" s="24" t="n"/>
      <c r="C16" s="20" t="inlineStr">
        <is>
          <t>3.4</t>
        </is>
      </c>
      <c r="D16" s="21" t="inlineStr">
        <is>
          <t>Custom agent status labels (Follow-up / Lunch / Break) + routing integration</t>
        </is>
      </c>
      <c r="E16" s="23" t="n"/>
      <c r="F16" s="23" t="n"/>
      <c r="G16" s="23" t="n"/>
      <c r="H16" s="23" t="n"/>
      <c r="I16" s="23" t="n"/>
      <c r="J16" s="23" t="n"/>
      <c r="K16" s="22" t="n"/>
      <c r="L16" s="22" t="n"/>
      <c r="M16" s="23" t="n"/>
      <c r="N16" s="23" t="n"/>
      <c r="O16" s="23" t="n"/>
      <c r="P16" s="23" t="n"/>
      <c r="Q16" s="23" t="n"/>
      <c r="R16" s="23" t="n"/>
    </row>
    <row r="17" ht="26" customHeight="1">
      <c r="B17" s="25" t="n"/>
      <c r="C17" s="20" t="inlineStr">
        <is>
          <t>3.5</t>
        </is>
      </c>
      <c r="D17" s="21" t="inlineStr">
        <is>
          <t>Release &amp; enablement — Chatwoot image rebuild (patches 0034–0041), RSA DB provisioning, BigQuery view rollout, per-tenant flags</t>
        </is>
      </c>
      <c r="E17" s="23" t="n"/>
      <c r="F17" s="23" t="n"/>
      <c r="G17" s="23" t="n"/>
      <c r="H17" s="23" t="n"/>
      <c r="I17" s="23" t="n"/>
      <c r="J17" s="23" t="n"/>
      <c r="K17" s="23" t="n"/>
      <c r="L17" s="22" t="n"/>
      <c r="M17" s="22" t="n"/>
      <c r="N17" s="22" t="n"/>
      <c r="O17" s="23" t="n"/>
      <c r="P17" s="23" t="n"/>
      <c r="Q17" s="23" t="n"/>
      <c r="R17" s="23" t="n"/>
    </row>
    <row r="18">
      <c r="B18" s="26" t="inlineStr">
        <is>
          <t>Hardening, HA &amp; UAT</t>
        </is>
      </c>
      <c r="C18" s="3" t="n"/>
      <c r="D18" s="4" t="n"/>
      <c r="E18" s="27" t="n"/>
      <c r="F18" s="27" t="n"/>
      <c r="G18" s="27" t="n"/>
      <c r="H18" s="27" t="n"/>
      <c r="I18" s="27" t="n"/>
      <c r="J18" s="27" t="n"/>
      <c r="K18" s="27" t="n"/>
      <c r="L18" s="27" t="n"/>
      <c r="M18" s="27" t="n"/>
      <c r="N18" s="27" t="n"/>
      <c r="O18" s="27" t="n"/>
      <c r="P18" s="27" t="n"/>
      <c r="Q18" s="27" t="n"/>
      <c r="R18" s="27" t="n"/>
    </row>
    <row r="19" ht="26" customHeight="1">
      <c r="B19" s="19" t="inlineStr">
        <is>
          <t>4.0</t>
        </is>
      </c>
      <c r="C19" s="20" t="inlineStr">
        <is>
          <t>4.1</t>
        </is>
      </c>
      <c r="D19" s="21" t="inlineStr">
        <is>
          <t>HA / autoscaling, resource tuning, monitoring &amp; alerting</t>
        </is>
      </c>
      <c r="E19" s="23" t="n"/>
      <c r="F19" s="23" t="n"/>
      <c r="G19" s="23" t="n"/>
      <c r="H19" s="23" t="n"/>
      <c r="I19" s="23" t="n"/>
      <c r="J19" s="23" t="n"/>
      <c r="K19" s="23" t="n"/>
      <c r="L19" s="23" t="n"/>
      <c r="M19" s="22" t="n"/>
      <c r="N19" s="22" t="n"/>
      <c r="O19" s="23" t="n"/>
      <c r="P19" s="23" t="n"/>
      <c r="Q19" s="23" t="n"/>
      <c r="R19" s="23" t="n"/>
    </row>
    <row r="20" ht="26" customHeight="1">
      <c r="B20" s="24" t="n"/>
      <c r="C20" s="20" t="inlineStr">
        <is>
          <t>4.2</t>
        </is>
      </c>
      <c r="D20" s="21" t="inlineStr">
        <is>
          <t>Backups &amp; disaster-recovery runbook</t>
        </is>
      </c>
      <c r="E20" s="23" t="n"/>
      <c r="F20" s="23" t="n"/>
      <c r="G20" s="23" t="n"/>
      <c r="H20" s="23" t="n"/>
      <c r="I20" s="23" t="n"/>
      <c r="J20" s="23" t="n"/>
      <c r="K20" s="23" t="n"/>
      <c r="L20" s="23" t="n"/>
      <c r="M20" s="23" t="n"/>
      <c r="N20" s="22" t="n"/>
      <c r="O20" s="22" t="n"/>
      <c r="P20" s="23" t="n"/>
      <c r="Q20" s="23" t="n"/>
      <c r="R20" s="23" t="n"/>
    </row>
    <row r="21" ht="26" customHeight="1">
      <c r="B21" s="24" t="n"/>
      <c r="C21" s="20" t="inlineStr">
        <is>
          <t>4.3</t>
        </is>
      </c>
      <c r="D21" s="21" t="inlineStr">
        <is>
          <t>Live channel verification (real WhatsApp, phone call, browser smoke)</t>
        </is>
      </c>
      <c r="E21" s="23" t="n"/>
      <c r="F21" s="23" t="n"/>
      <c r="G21" s="23" t="n"/>
      <c r="H21" s="23" t="n"/>
      <c r="I21" s="23" t="n"/>
      <c r="J21" s="23" t="n"/>
      <c r="K21" s="23" t="n"/>
      <c r="L21" s="23" t="n"/>
      <c r="M21" s="23" t="n"/>
      <c r="N21" s="22" t="n"/>
      <c r="O21" s="22" t="n"/>
      <c r="P21" s="23" t="n"/>
      <c r="Q21" s="23" t="n"/>
      <c r="R21" s="23" t="n"/>
    </row>
    <row r="22" ht="26" customHeight="1">
      <c r="B22" s="25" t="n"/>
      <c r="C22" s="20" t="inlineStr">
        <is>
          <t>4.4</t>
        </is>
      </c>
      <c r="D22" s="21" t="inlineStr">
        <is>
          <t>UAT, data reconciliation &amp; sign-off</t>
        </is>
      </c>
      <c r="E22" s="23" t="n"/>
      <c r="F22" s="23" t="n"/>
      <c r="G22" s="23" t="n"/>
      <c r="H22" s="23" t="n"/>
      <c r="I22" s="23" t="n"/>
      <c r="J22" s="23" t="n"/>
      <c r="K22" s="23" t="n"/>
      <c r="L22" s="23" t="n"/>
      <c r="M22" s="23" t="n"/>
      <c r="N22" s="23" t="n"/>
      <c r="O22" s="22" t="n"/>
      <c r="P22" s="22" t="n"/>
      <c r="Q22" s="23" t="n"/>
      <c r="R22" s="23" t="n"/>
    </row>
    <row r="23">
      <c r="B23" s="17" t="inlineStr">
        <is>
          <t>Cutover, Decommission &amp; Handover</t>
        </is>
      </c>
      <c r="C23" s="3" t="n"/>
      <c r="D23" s="4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  <c r="O23" s="18" t="n"/>
      <c r="P23" s="18" t="n"/>
      <c r="Q23" s="18" t="n"/>
      <c r="R23" s="18" t="n"/>
    </row>
    <row r="24" ht="26" customHeight="1">
      <c r="B24" s="19" t="inlineStr">
        <is>
          <t>5.0</t>
        </is>
      </c>
      <c r="C24" s="20" t="inlineStr">
        <is>
          <t>5.1</t>
        </is>
      </c>
      <c r="D24" s="21" t="inlineStr">
        <is>
          <t>Go-live cutover &amp; hypercare</t>
        </is>
      </c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  <c r="N24" s="23" t="n"/>
      <c r="O24" s="23" t="n"/>
      <c r="P24" s="23" t="n"/>
      <c r="Q24" s="22" t="n"/>
      <c r="R24" s="23" t="n"/>
    </row>
    <row r="25" ht="26" customHeight="1">
      <c r="B25" s="24" t="n"/>
      <c r="C25" s="20" t="inlineStr">
        <is>
          <t>5.2</t>
        </is>
      </c>
      <c r="D25" s="21" t="inlineStr">
        <is>
          <t>Zendesk decommission</t>
        </is>
      </c>
      <c r="E25" s="23" t="n"/>
      <c r="F25" s="23" t="n"/>
      <c r="G25" s="23" t="n"/>
      <c r="H25" s="23" t="n"/>
      <c r="I25" s="23" t="n"/>
      <c r="J25" s="23" t="n"/>
      <c r="K25" s="23" t="n"/>
      <c r="L25" s="23" t="n"/>
      <c r="M25" s="23" t="n"/>
      <c r="N25" s="23" t="n"/>
      <c r="O25" s="23" t="n"/>
      <c r="P25" s="23" t="n"/>
      <c r="Q25" s="22" t="n"/>
      <c r="R25" s="22" t="n"/>
    </row>
    <row r="26" ht="26" customHeight="1">
      <c r="B26" s="25" t="n"/>
      <c r="C26" s="20" t="inlineStr">
        <is>
          <t>5.3</t>
        </is>
      </c>
      <c r="D26" s="21" t="inlineStr">
        <is>
          <t>Ops runbook + admin/agent training &amp; knowledge transfer</t>
        </is>
      </c>
      <c r="E26" s="23" t="n"/>
      <c r="F26" s="23" t="n"/>
      <c r="G26" s="23" t="n"/>
      <c r="H26" s="23" t="n"/>
      <c r="I26" s="23" t="n"/>
      <c r="J26" s="23" t="n"/>
      <c r="K26" s="23" t="n"/>
      <c r="L26" s="23" t="n"/>
      <c r="M26" s="23" t="n"/>
      <c r="N26" s="23" t="n"/>
      <c r="O26" s="23" t="n"/>
      <c r="P26" s="23" t="n"/>
      <c r="Q26" s="22" t="n"/>
      <c r="R26" s="22" t="n"/>
    </row>
    <row r="27">
      <c r="B27" s="17" t="inlineStr">
        <is>
          <t>Memo — priced separately</t>
        </is>
      </c>
      <c r="C27" s="3" t="n"/>
      <c r="D27" s="4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  <c r="O27" s="18" t="n"/>
      <c r="P27" s="18" t="n"/>
      <c r="Q27" s="18" t="n"/>
      <c r="R27" s="18" t="n"/>
    </row>
    <row r="28" ht="26" customHeight="1">
      <c r="B28" s="19" t="inlineStr">
        <is>
          <t>—</t>
        </is>
      </c>
      <c r="C28" s="20" t="inlineStr">
        <is>
          <t>A–G</t>
        </is>
      </c>
      <c r="D28" s="21" t="inlineStr">
        <is>
          <t>Packages A–G (email/social, Contacts 360 merge, telephony, demo data &amp; case detail, reporting deck parity, DMS/TSP, escalation-policy engine) — already queued, own estimate</t>
        </is>
      </c>
      <c r="E28" s="28" t="n"/>
      <c r="F28" s="28" t="n"/>
      <c r="G28" s="28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8" t="n"/>
      <c r="Q28" s="28" t="n"/>
      <c r="R28" s="28" t="n"/>
    </row>
    <row r="30">
      <c r="B30" s="15" t="inlineStr">
        <is>
          <t>Timeline covers the scope outside Packages A–G only. Phase durations overlap — the sum of phase weeks exceeds the 14-week calendar because Phase 3 runs alongside Phases 1–2.</t>
        </is>
      </c>
    </row>
  </sheetData>
  <mergeCells count="13">
    <mergeCell ref="B3:D3"/>
    <mergeCell ref="B2:C2"/>
    <mergeCell ref="B4:B6"/>
    <mergeCell ref="B8:B11"/>
    <mergeCell ref="B23:D23"/>
    <mergeCell ref="B18:D18"/>
    <mergeCell ref="B13:B17"/>
    <mergeCell ref="B27:D27"/>
    <mergeCell ref="B24:B26"/>
    <mergeCell ref="B12:D12"/>
    <mergeCell ref="B7:D7"/>
    <mergeCell ref="B19:B22"/>
    <mergeCell ref="B30:J30"/>
  </mergeCells>
  <pageMargins left="0.2" right="0.2" top="0.3" bottom="0.3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V19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52" customWidth="1" min="3" max="3"/>
    <col width="20" customWidth="1" min="4" max="4"/>
    <col width="11" customWidth="1" min="5" max="5"/>
    <col width="18" customWidth="1" min="6" max="6"/>
    <col width="2" customWidth="1" min="7" max="7"/>
    <col width="12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6" customWidth="1" min="15" max="15"/>
    <col width="9" customWidth="1" min="16" max="16"/>
    <col width="14" customWidth="1" min="17" max="17"/>
    <col width="16" customWidth="1" min="18" max="18"/>
    <col width="2" customWidth="1" min="19" max="19"/>
    <col width="20" customWidth="1" min="20" max="20"/>
    <col width="18" customWidth="1" min="21" max="21"/>
    <col width="15" customWidth="1" min="22" max="22"/>
  </cols>
  <sheetData>
    <row r="1">
      <c r="A1" s="1" t="n">
        <v>16500</v>
      </c>
    </row>
    <row r="2">
      <c r="T2" s="29" t="inlineStr">
        <is>
          <t>Role / Seniority</t>
        </is>
      </c>
      <c r="U2" s="30" t="inlineStr">
        <is>
          <t>Sales price / hour (IDR)</t>
        </is>
      </c>
      <c r="V2" s="30" t="inlineStr">
        <is>
          <t>Per day (× 8)</t>
        </is>
      </c>
    </row>
    <row r="3">
      <c r="B3" s="31" t="inlineStr">
        <is>
          <t>Professional Services — PROTON CRM · scope outside Packages A–G</t>
        </is>
      </c>
      <c r="C3" s="3" t="n"/>
      <c r="D3" s="3" t="n"/>
      <c r="E3" s="3" t="n"/>
      <c r="F3" s="4" t="n"/>
      <c r="I3" s="32" t="inlineStr">
        <is>
          <t>Lead Consultant</t>
        </is>
      </c>
      <c r="J3" s="32" t="inlineStr">
        <is>
          <t>Principal</t>
        </is>
      </c>
      <c r="K3" s="32" t="inlineStr">
        <is>
          <t>Senior Consultant</t>
        </is>
      </c>
      <c r="L3" s="32" t="inlineStr">
        <is>
          <t>Consultant</t>
        </is>
      </c>
      <c r="M3" s="32" t="inlineStr">
        <is>
          <t>Senior Consultant</t>
        </is>
      </c>
      <c r="N3" s="32" t="inlineStr">
        <is>
          <t>Consultant</t>
        </is>
      </c>
      <c r="O3" s="33" t="inlineStr">
        <is>
          <t>Total</t>
        </is>
      </c>
      <c r="P3" s="26" t="inlineStr">
        <is>
          <t>Risk buffer</t>
        </is>
      </c>
      <c r="Q3" s="3" t="n"/>
      <c r="R3" s="4" t="n"/>
      <c r="T3" s="34" t="inlineStr">
        <is>
          <t>Consultant</t>
        </is>
      </c>
      <c r="U3" s="35" t="n">
        <v>350000</v>
      </c>
      <c r="V3" s="35">
        <f>U3*8</f>
        <v/>
      </c>
    </row>
    <row r="4">
      <c r="B4" s="31" t="inlineStr">
        <is>
          <t>Milestone</t>
        </is>
      </c>
      <c r="C4" s="31" t="inlineStr">
        <is>
          <t>Activity</t>
        </is>
      </c>
      <c r="D4" s="31" t="inlineStr">
        <is>
          <t>Resources</t>
        </is>
      </c>
      <c r="E4" s="31" t="inlineStr">
        <is>
          <t>Duration (Week)</t>
        </is>
      </c>
      <c r="F4" s="31" t="inlineStr">
        <is>
          <t>Service Price</t>
        </is>
      </c>
      <c r="H4" s="36" t="inlineStr">
        <is>
          <t>Duration (Days)</t>
        </is>
      </c>
      <c r="I4" s="32" t="inlineStr">
        <is>
          <t>Project Manager</t>
        </is>
      </c>
      <c r="J4" s="32" t="inlineStr">
        <is>
          <t>Solution Architect / Tech Lead</t>
        </is>
      </c>
      <c r="K4" s="32" t="inlineStr">
        <is>
          <t>Backend / AI Engineer</t>
        </is>
      </c>
      <c r="L4" s="32" t="inlineStr">
        <is>
          <t>Frontend Engineer</t>
        </is>
      </c>
      <c r="M4" s="32" t="inlineStr">
        <is>
          <t>Data / BI Engineer</t>
        </is>
      </c>
      <c r="N4" s="32" t="inlineStr">
        <is>
          <t>QA Engineer</t>
        </is>
      </c>
      <c r="O4" s="37" t="inlineStr">
        <is>
          <t>(mandays)</t>
        </is>
      </c>
      <c r="P4" s="38" t="inlineStr">
        <is>
          <t>Risk %</t>
        </is>
      </c>
      <c r="Q4" s="38" t="inlineStr">
        <is>
          <t>Contingency (mandays)</t>
        </is>
      </c>
      <c r="R4" s="38" t="inlineStr">
        <is>
          <t>Total incl. contingency</t>
        </is>
      </c>
      <c r="T4" s="34" t="inlineStr">
        <is>
          <t>Senior Consultant</t>
        </is>
      </c>
      <c r="U4" s="35" t="n">
        <v>606250</v>
      </c>
      <c r="V4" s="35">
        <f>U4*8</f>
        <v/>
      </c>
    </row>
    <row r="5" ht="72" customHeight="1">
      <c r="B5" s="39" t="inlineStr">
        <is>
          <t>Phase 1 : GCP Foundation &amp; Provisioning</t>
        </is>
      </c>
      <c r="C5" s="39" t="inlineStr">
        <is>
          <t>Provision GCP project, VPC, IAM, GKE Standard cluster + node pools, Cloud SQL, Memorystore, BigQuery, Artifact Registry; CI/CD, Secret Manager, monitoring baseline; re-platform Chatwoot + agent + backend from Docker Compose to GKE manifests.</t>
        </is>
      </c>
      <c r="D5" s="39" t="inlineStr">
        <is>
          <t>Solution Architect
DevOps / Backend
Data/BI Engineer
Project Manager</t>
        </is>
      </c>
      <c r="E5" s="40" t="n">
        <v>3</v>
      </c>
      <c r="F5" s="41">
        <f>ROUNDUP(O14,-2)</f>
        <v/>
      </c>
      <c r="H5" s="42">
        <f>E5*5</f>
        <v/>
      </c>
      <c r="I5" s="42" t="n">
        <v>3</v>
      </c>
      <c r="J5" s="42" t="n">
        <v>10</v>
      </c>
      <c r="K5" s="42" t="n">
        <v>12</v>
      </c>
      <c r="L5" s="42" t="n">
        <v>0</v>
      </c>
      <c r="M5" s="42" t="n">
        <v>3</v>
      </c>
      <c r="N5" s="42" t="n">
        <v>2</v>
      </c>
      <c r="O5" s="42">
        <f>SUM(I5:N5)</f>
        <v/>
      </c>
      <c r="P5" s="43" t="n">
        <v>0.1</v>
      </c>
      <c r="Q5" s="42">
        <f>ROUND(O5*P5,0)</f>
        <v/>
      </c>
      <c r="R5" s="44">
        <f>O5+Q5</f>
        <v/>
      </c>
      <c r="T5" s="34" t="inlineStr">
        <is>
          <t>Lead Consultant</t>
        </is>
      </c>
      <c r="U5" s="35" t="n">
        <v>700000</v>
      </c>
      <c r="V5" s="35">
        <f>U5*8</f>
        <v/>
      </c>
    </row>
    <row r="6" ht="72" customHeight="1">
      <c r="B6" s="39" t="inlineStr">
        <is>
          <t>Phase 2 : Data Migration &amp; Channel Cutover</t>
        </is>
      </c>
      <c r="C6" s="39" t="inlineStr">
        <is>
          <t>Zendesk extract, field mapping &amp; bulk import (tickets, contacts, attachments); KB migration to pgvector + Vertex AI Search; re-wire WhatsApp/Website/API/Email inboxes on the new cluster; parallel-run &amp; reconciliation.</t>
        </is>
      </c>
      <c r="D6" s="39" t="inlineStr">
        <is>
          <t>Backend/AI Engineer
Data/BI Engineer
Frontend Engineer
QA
Project Manager</t>
        </is>
      </c>
      <c r="E6" s="40" t="n">
        <v>4</v>
      </c>
      <c r="F6" s="24" t="n"/>
      <c r="H6" s="42">
        <f>E6*5</f>
        <v/>
      </c>
      <c r="I6" s="42" t="n">
        <v>4</v>
      </c>
      <c r="J6" s="42" t="n">
        <v>4</v>
      </c>
      <c r="K6" s="42" t="n">
        <v>16</v>
      </c>
      <c r="L6" s="42" t="n">
        <v>4</v>
      </c>
      <c r="M6" s="42" t="n">
        <v>6</v>
      </c>
      <c r="N6" s="42" t="n">
        <v>6</v>
      </c>
      <c r="O6" s="42">
        <f>SUM(I6:N6)</f>
        <v/>
      </c>
      <c r="P6" s="43" t="n">
        <v>0.2</v>
      </c>
      <c r="Q6" s="42">
        <f>ROUND(O6*P6,0)</f>
        <v/>
      </c>
      <c r="R6" s="44">
        <f>O6+Q6</f>
        <v/>
      </c>
      <c r="T6" s="34" t="inlineStr">
        <is>
          <t>Principal</t>
        </is>
      </c>
      <c r="U6" s="35" t="n">
        <v>825000</v>
      </c>
      <c r="V6" s="35">
        <f>U6*8</f>
        <v/>
      </c>
    </row>
    <row r="7" ht="72" customHeight="1">
      <c r="B7" s="39" t="inlineStr">
        <is>
          <t>Phase 3 : Platform Features outside Packages A–G</t>
        </is>
      </c>
      <c r="C7" s="39" t="inlineStr">
        <is>
          <t>Native SAML SSO (IdP metadata, ACS endpoint, JIT provisioning, Security settings UI); RBAC phase 3 — native conversation-visibility scoping; IVR-4 voice-language reliability fix; custom agent status labels + routing integration; release &amp; enablement (Chatwoot image rebuild with patches 0034–0041, RSA DB provisioning, BigQuery view rollout, per-tenant feature flags).</t>
        </is>
      </c>
      <c r="D7" s="39" t="inlineStr">
        <is>
          <t>Backend/AI Engineer
Frontend Engineer
Solution Architect
QA
Data/BI Engineer</t>
        </is>
      </c>
      <c r="E7" s="40" t="n">
        <v>8</v>
      </c>
      <c r="F7" s="24" t="n"/>
      <c r="H7" s="42">
        <f>E7*5</f>
        <v/>
      </c>
      <c r="I7" s="42" t="n">
        <v>3</v>
      </c>
      <c r="J7" s="42" t="n">
        <v>9</v>
      </c>
      <c r="K7" s="42" t="n">
        <v>33</v>
      </c>
      <c r="L7" s="42" t="n">
        <v>13</v>
      </c>
      <c r="M7" s="42" t="n">
        <v>3</v>
      </c>
      <c r="N7" s="42" t="n">
        <v>15</v>
      </c>
      <c r="O7" s="42">
        <f>SUM(I7:N7)</f>
        <v/>
      </c>
      <c r="P7" s="43" t="n">
        <v>0.2</v>
      </c>
      <c r="Q7" s="42">
        <f>ROUND(O7*P7,0)</f>
        <v/>
      </c>
      <c r="R7" s="44">
        <f>O7+Q7</f>
        <v/>
      </c>
      <c r="T7" s="34" t="inlineStr">
        <is>
          <t>Expert / Director</t>
        </is>
      </c>
      <c r="U7" s="35" t="n">
        <v>1275000</v>
      </c>
      <c r="V7" s="35">
        <f>U7*8</f>
        <v/>
      </c>
    </row>
    <row r="8" ht="72" customHeight="1">
      <c r="B8" s="39" t="inlineStr">
        <is>
          <t>Phase 4 : Hardening, HA &amp; UAT</t>
        </is>
      </c>
      <c r="C8" s="39" t="inlineStr">
        <is>
          <t>HA / autoscaling &amp; resource tuning; monitoring, alerting &amp; logging; backups and disaster-recovery runbook; live channel verification (real WhatsApp, phone call, browser smoke); UAT, data reconciliation &amp; sign-off.</t>
        </is>
      </c>
      <c r="D8" s="39" t="inlineStr">
        <is>
          <t>DevOps / Backend
QA
Solution Architect
Project Manager</t>
        </is>
      </c>
      <c r="E8" s="40" t="n">
        <v>4</v>
      </c>
      <c r="F8" s="24" t="n"/>
      <c r="H8" s="42">
        <f>E8*5</f>
        <v/>
      </c>
      <c r="I8" s="42" t="n">
        <v>6</v>
      </c>
      <c r="J8" s="42" t="n">
        <v>5</v>
      </c>
      <c r="K8" s="42" t="n">
        <v>11</v>
      </c>
      <c r="L8" s="42" t="n">
        <v>3</v>
      </c>
      <c r="M8" s="42" t="n">
        <v>2</v>
      </c>
      <c r="N8" s="42" t="n">
        <v>20</v>
      </c>
      <c r="O8" s="42">
        <f>SUM(I8:N8)</f>
        <v/>
      </c>
      <c r="P8" s="43" t="n">
        <v>0.1</v>
      </c>
      <c r="Q8" s="42">
        <f>ROUND(O8*P8,0)</f>
        <v/>
      </c>
      <c r="R8" s="44">
        <f>O8+Q8</f>
        <v/>
      </c>
      <c r="T8" s="34" t="inlineStr">
        <is>
          <t>Margin</t>
        </is>
      </c>
      <c r="U8" s="45" t="n">
        <v>0.15</v>
      </c>
    </row>
    <row r="9" ht="72" customHeight="1">
      <c r="B9" s="39" t="inlineStr">
        <is>
          <t>Phase 5 : Cutover, Decommission &amp; Handover</t>
        </is>
      </c>
      <c r="C9" s="39" t="inlineStr">
        <is>
          <t>Go-live cutover &amp; hypercare; Zendesk decommission; ops runbook + admin/agent training &amp; knowledge transfer.</t>
        </is>
      </c>
      <c r="D9" s="39" t="inlineStr">
        <is>
          <t>Project Manager
Backend/AI Engineer
DevOps
Technical Writer</t>
        </is>
      </c>
      <c r="E9" s="40" t="n">
        <v>2</v>
      </c>
      <c r="F9" s="25" t="n"/>
      <c r="H9" s="42">
        <f>E9*5</f>
        <v/>
      </c>
      <c r="I9" s="42" t="n">
        <v>6</v>
      </c>
      <c r="J9" s="42" t="n">
        <v>3</v>
      </c>
      <c r="K9" s="42" t="n">
        <v>5</v>
      </c>
      <c r="L9" s="42" t="n">
        <v>2</v>
      </c>
      <c r="M9" s="42" t="n">
        <v>2</v>
      </c>
      <c r="N9" s="42" t="n">
        <v>3</v>
      </c>
      <c r="O9" s="42">
        <f>SUM(I9:N9)</f>
        <v/>
      </c>
      <c r="P9" s="43" t="n">
        <v>0.05</v>
      </c>
      <c r="Q9" s="42">
        <f>ROUND(O9*P9,0)</f>
        <v/>
      </c>
      <c r="R9" s="44">
        <f>O9+Q9</f>
        <v/>
      </c>
    </row>
    <row r="10">
      <c r="H10" s="46" t="inlineStr">
        <is>
          <t>Total Mandays</t>
        </is>
      </c>
      <c r="I10" s="6">
        <f>SUM(I5:I9)</f>
        <v/>
      </c>
      <c r="J10" s="6">
        <f>SUM(J5:J9)</f>
        <v/>
      </c>
      <c r="K10" s="6">
        <f>SUM(K5:K9)</f>
        <v/>
      </c>
      <c r="L10" s="6">
        <f>SUM(L5:L9)</f>
        <v/>
      </c>
      <c r="M10" s="6">
        <f>SUM(M5:M9)</f>
        <v/>
      </c>
      <c r="N10" s="6">
        <f>SUM(N5:N9)</f>
        <v/>
      </c>
      <c r="O10" s="47">
        <f>SUM(I10:N10)</f>
        <v/>
      </c>
      <c r="P10" s="27" t="n"/>
      <c r="Q10" s="48">
        <f>SUM(Q5:Q9)</f>
        <v/>
      </c>
      <c r="R10" s="48">
        <f>O10+Q10</f>
        <v/>
      </c>
    </row>
    <row r="11">
      <c r="H11" s="46" t="inlineStr">
        <is>
          <t>Total Mandays Price</t>
        </is>
      </c>
      <c r="I11" s="49">
        <f>I10*8*$U$5</f>
        <v/>
      </c>
      <c r="J11" s="49">
        <f>J10*8*$U$6</f>
        <v/>
      </c>
      <c r="K11" s="49">
        <f>K10*8*$U$4</f>
        <v/>
      </c>
      <c r="L11" s="49">
        <f>L10*8*$U$3</f>
        <v/>
      </c>
      <c r="M11" s="49">
        <f>M10*8*$U$4</f>
        <v/>
      </c>
      <c r="N11" s="49">
        <f>N10*8*$U$3</f>
        <v/>
      </c>
      <c r="O11" s="50">
        <f>SUM(I11:N11)</f>
        <v/>
      </c>
    </row>
    <row r="12">
      <c r="H12" s="51" t="inlineStr">
        <is>
          <t>Contingency (risk buffer)</t>
        </is>
      </c>
      <c r="I12" s="23" t="n"/>
      <c r="J12" s="3" t="n"/>
      <c r="K12" s="3" t="n"/>
      <c r="L12" s="3" t="n"/>
      <c r="M12" s="3" t="n"/>
      <c r="N12" s="4" t="n"/>
      <c r="O12" s="49">
        <f>O11/O10*Q10</f>
        <v/>
      </c>
    </row>
    <row r="13">
      <c r="H13" s="51" t="inlineStr">
        <is>
          <t>Subtotal incl. Contingency</t>
        </is>
      </c>
      <c r="I13" s="23" t="n"/>
      <c r="J13" s="3" t="n"/>
      <c r="K13" s="3" t="n"/>
      <c r="L13" s="3" t="n"/>
      <c r="M13" s="3" t="n"/>
      <c r="N13" s="4" t="n"/>
      <c r="O13" s="50">
        <f>O11+O12</f>
        <v/>
      </c>
    </row>
    <row r="14">
      <c r="H14" s="51" t="inlineStr">
        <is>
          <t>Total Price Including Margin</t>
        </is>
      </c>
      <c r="I14" s="23" t="n"/>
      <c r="J14" s="3" t="n"/>
      <c r="K14" s="3" t="n"/>
      <c r="L14" s="3" t="n"/>
      <c r="M14" s="3" t="n"/>
      <c r="N14" s="4" t="n"/>
      <c r="O14" s="50">
        <f>O13*(1+$U$8)</f>
        <v/>
      </c>
    </row>
    <row r="16">
      <c r="B16" s="52" t="inlineStr">
        <is>
          <t>Memo — excluded from the totals above (priced separately)</t>
        </is>
      </c>
      <c r="C16" s="3" t="n"/>
      <c r="D16" s="3" t="n"/>
      <c r="E16" s="3" t="n"/>
      <c r="F16" s="4" t="n"/>
    </row>
    <row r="17" ht="60" customHeight="1">
      <c r="B17" s="21" t="inlineStr">
        <is>
          <t>Packages A–G (in delivery)</t>
        </is>
      </c>
      <c r="C17" s="21" t="inlineStr">
        <is>
          <t>A· Facebook/Instagram activation · B· Contacts ↔ Customer 360 merge · C· Telephony (live handoff, transcript-to-ticket, auto-busy, call recording) · D· Demo data &amp; per-case detail · E· Reporting parity with the weekly/monthly decks · F· DMS/TSP integration · G· Escalation-policy engine.</t>
        </is>
      </c>
      <c r="D17" s="21" t="inlineStr">
        <is>
          <t>Already queued —
separate estimate</t>
        </is>
      </c>
      <c r="E17" s="23" t="n"/>
      <c r="F17" s="20" t="inlineStr">
        <is>
          <t>—</t>
        </is>
      </c>
    </row>
    <row r="19" ht="56" customHeight="1">
      <c r="B19" s="15" t="inlineStr">
        <is>
          <t>Scope is zero-based on the work outside Packages A–G: platform delivery that has not started (GCP landing zone, GKE re-platform, Zendesk + KB migration, cutover, UAT, handover) plus the product items that have a spec/plan but no code (native SAML SSO, RBAC phase 3, IVR-4, custom agent status labels, release/enablement and live verification). Mandays are an indicative delivery estimate; day-rates, margin and per-phase Risk % are editable (rate card in T:V, Risk % in column P). May be offset by Google program funding.</t>
        </is>
      </c>
    </row>
  </sheetData>
  <mergeCells count="8">
    <mergeCell ref="B16:F16"/>
    <mergeCell ref="I13:N13"/>
    <mergeCell ref="I14:N14"/>
    <mergeCell ref="B3:F3"/>
    <mergeCell ref="B19:O19"/>
    <mergeCell ref="I12:N12"/>
    <mergeCell ref="P3:R3"/>
    <mergeCell ref="F5:F9"/>
  </mergeCells>
  <pageMargins left="0.2" right="0.2" top="0.3" bottom="0.3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2026-08-04T08:31:45Z</dcterms:created>
  <dcterms:modified xmlns:dcterms="http://purl.org/dc/terms/" xmlns:xsi="http://www.w3.org/2001/XMLSchema-instance" xsi:type="dcterms:W3CDTF">2026-08-04T08:31:45Z</dcterms:modified>
</cp:coreProperties>
</file>