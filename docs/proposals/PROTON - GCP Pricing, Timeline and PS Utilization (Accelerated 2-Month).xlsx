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P Cost Estimation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PS Uti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USD ]#,##0.00"/>
    <numFmt numFmtId="165" formatCode="[$IDR ]#,##0.00"/>
    <numFmt numFmtId="166" formatCode="[$Rp ]#,##0"/>
  </numFmts>
  <fonts count="13">
    <font>
      <name val="Calibri"/>
      <family val="2"/>
      <color theme="1"/>
      <sz val="11"/>
      <scheme val="minor"/>
    </font>
    <font>
      <name val="Arial"/>
      <color rgb="FF999999"/>
      <sz val="9"/>
    </font>
    <font>
      <name val="Arial"/>
      <b val="1"/>
      <sz val="10"/>
    </font>
    <font>
      <name val="Arial"/>
      <b val="1"/>
      <color rgb="FFFFFFFF"/>
      <sz val="10"/>
    </font>
    <font>
      <name val="Arial"/>
      <sz val="10"/>
    </font>
    <font>
      <name val="Google Sans"/>
      <b val="1"/>
      <color rgb="FFFFFFFF"/>
      <sz val="10"/>
    </font>
    <font>
      <name val="Google Sans"/>
      <b val="1"/>
      <color rgb="FF666666"/>
      <sz val="10"/>
    </font>
    <font>
      <name val="Google Sans"/>
      <color rgb="FF666666"/>
      <sz val="10"/>
    </font>
    <font>
      <name val="Google Sans"/>
      <b val="1"/>
      <sz val="9"/>
    </font>
    <font>
      <name val="Google Sans"/>
      <b val="1"/>
      <color rgb="FFFFFFFF"/>
      <sz val="9"/>
    </font>
    <font>
      <name val="Google Sans"/>
      <sz val="9"/>
    </font>
    <font>
      <name val="Google Sans"/>
      <b val="1"/>
      <sz val="10"/>
    </font>
    <font>
      <name val="Google Sans"/>
      <sz val="10"/>
    </font>
  </fonts>
  <fills count="12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4285F4"/>
      </patternFill>
    </fill>
    <fill>
      <patternFill patternType="solid">
        <fgColor rgb="FFFFF2CC"/>
      </patternFill>
    </fill>
    <fill>
      <patternFill patternType="solid">
        <fgColor rgb="FF3C78D8"/>
      </patternFill>
    </fill>
    <fill>
      <patternFill patternType="solid">
        <fgColor rgb="FFCCCCCC"/>
      </patternFill>
    </fill>
    <fill>
      <patternFill patternType="solid">
        <fgColor rgb="FF9FC5F8"/>
      </patternFill>
    </fill>
    <fill>
      <patternFill patternType="solid">
        <fgColor rgb="FFFFFFFF"/>
      </patternFill>
    </fill>
    <fill>
      <patternFill patternType="solid">
        <fgColor rgb="FF274E13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8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166" fontId="10" fillId="10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3" fontId="12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9" fontId="2" fillId="10" borderId="0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52" customWidth="1" min="4" max="4"/>
    <col width="15" customWidth="1" min="5" max="5"/>
    <col width="17" customWidth="1" min="6" max="6"/>
  </cols>
  <sheetData>
    <row r="1">
      <c r="A1" s="1" t="n">
        <v>16500</v>
      </c>
    </row>
    <row r="2">
      <c r="B2" s="2" t="inlineStr">
        <is>
          <t>PROTON CRM — Monthly Recurring (one production tenant)</t>
        </is>
      </c>
      <c r="C2" s="3" t="n"/>
      <c r="D2" s="3" t="n"/>
      <c r="E2" s="3" t="n"/>
      <c r="F2" s="4" t="n"/>
    </row>
    <row r="3">
      <c r="B3" s="5" t="inlineStr">
        <is>
          <t>No</t>
        </is>
      </c>
      <c r="C3" s="5" t="inlineStr">
        <is>
          <t>GCP Component</t>
        </is>
      </c>
      <c r="D3" s="5" t="inlineStr">
        <is>
          <t>Component Details</t>
        </is>
      </c>
      <c r="E3" s="5" t="inlineStr">
        <is>
          <t>Price (USD)</t>
        </is>
      </c>
      <c r="F3" s="5" t="inlineStr">
        <is>
          <t>Price (IDR)</t>
        </is>
      </c>
    </row>
    <row r="4" ht="42" customHeight="1">
      <c r="B4" s="6" t="n">
        <v>1</v>
      </c>
      <c r="C4" s="7" t="inlineStr">
        <is>
          <t>Google Kubernetes Engine (Standard) — cluster</t>
        </is>
      </c>
      <c r="D4" s="7" t="inlineStr">
        <is>
          <t>Region: Singapore (asia-southeast1)
Regional cluster management fee ($0.10/cluster/hr)
Multi-tenant: per-tenant namespaces + node pools</t>
        </is>
      </c>
      <c r="E4" s="8" t="n">
        <v>73</v>
      </c>
      <c r="F4" s="9">
        <f>E4*A$1</f>
        <v/>
      </c>
    </row>
    <row r="5" ht="28" customHeight="1">
      <c r="B5" s="6" t="n">
        <v>2</v>
      </c>
      <c r="C5" s="7" t="inlineStr">
        <is>
          <t>Google Kubernetes Engine (Standard) — node pool</t>
        </is>
      </c>
      <c r="D5" s="7" t="inlineStr">
        <is>
          <t>3 × e2-standard-4 (vCPUs: 4, RAM: 16 GiB), on-demand
Runs Chatwoot (Rails+Sidekiq), agent &amp; backend (FastAPI)</t>
        </is>
      </c>
      <c r="E5" s="8" t="n">
        <v>362.01</v>
      </c>
      <c r="F5" s="9">
        <f>E5*A$1</f>
        <v/>
      </c>
    </row>
    <row r="6" ht="70" customHeight="1">
      <c r="B6" s="6" t="n">
        <v>3</v>
      </c>
      <c r="C6" s="7" t="inlineStr">
        <is>
          <t>Cloud SQL for PostgreSQL (HA)</t>
        </is>
      </c>
      <c r="D6" s="7" t="inlineStr">
        <is>
          <t>Region: Singapore (asia-southeast1)
Enterprise edition, regional HA
Machine: 2 vCPU / 8 GiB RAM
Storage: 100 GB SSD
Chatwoot DB + per-tenant pgvector KB</t>
        </is>
      </c>
      <c r="E6" s="8" t="n">
        <v>300</v>
      </c>
      <c r="F6" s="9">
        <f>E6*A$1</f>
        <v/>
      </c>
    </row>
    <row r="7" ht="42" customHeight="1">
      <c r="B7" s="6" t="n">
        <v>4</v>
      </c>
      <c r="C7" s="7" t="inlineStr">
        <is>
          <t>Memorystore for Redis (HA)</t>
        </is>
      </c>
      <c r="D7" s="7" t="inlineStr">
        <is>
          <t>Standard tier (auto-failover replica)
Capacity: 4 GB
Sidekiq queues / cache</t>
        </is>
      </c>
      <c r="E7" s="8" t="n">
        <v>181.04</v>
      </c>
      <c r="F7" s="9">
        <f>E7*A$1</f>
        <v/>
      </c>
    </row>
    <row r="8" ht="42" customHeight="1">
      <c r="B8" s="6" t="n">
        <v>5</v>
      </c>
      <c r="C8" s="7" t="inlineStr">
        <is>
          <t>Vertex AI — Gemini 2.5 Flash + Vertex AI Search</t>
        </is>
      </c>
      <c r="D8" s="7" t="inlineStr">
        <is>
          <t>Usage-based (indicative)
~5,000 AI conversations/mo (~8k in + ~1.5k out tokens)
~5,000 grounded KB queries/mo</t>
        </is>
      </c>
      <c r="E8" s="8" t="n">
        <v>50.75</v>
      </c>
      <c r="F8" s="9">
        <f>E8*A$1</f>
        <v/>
      </c>
    </row>
    <row r="9" ht="42" customHeight="1">
      <c r="B9" s="6" t="n">
        <v>6</v>
      </c>
      <c r="C9" s="7" t="inlineStr">
        <is>
          <t>Cloud Storage</t>
        </is>
      </c>
      <c r="D9" s="7" t="inlineStr">
        <is>
          <t>Region: Singapore (asia-southeast1)
Class: Standard · 100 GB + modest egress
Attachments / exports</t>
        </is>
      </c>
      <c r="E9" s="8" t="n">
        <v>8.300000000000001</v>
      </c>
      <c r="F9" s="9">
        <f>E9*A$1</f>
        <v/>
      </c>
    </row>
    <row r="10" ht="28" customHeight="1">
      <c r="B10" s="6" t="n">
        <v>7</v>
      </c>
      <c r="C10" s="7" t="inlineStr">
        <is>
          <t>Networking — Cloud Load Balancing + egress</t>
        </is>
      </c>
      <c r="D10" s="7" t="inlineStr">
        <is>
          <t>1 external HTTP(S) forwarding rule + data processing
~100 GB internet egress/mo</t>
        </is>
      </c>
      <c r="E10" s="8" t="n">
        <v>31.85</v>
      </c>
      <c r="F10" s="9">
        <f>E10*A$1</f>
        <v/>
      </c>
    </row>
    <row r="11" ht="28" customHeight="1">
      <c r="B11" s="6" t="n">
        <v>8</v>
      </c>
      <c r="C11" s="7" t="inlineStr">
        <is>
          <t>Cloud Logging + Cloud Monitoring</t>
        </is>
      </c>
      <c r="D11" s="7" t="inlineStr">
        <is>
          <t>~100 GB log ingest/mo (first 50 GB free)
Metrics + alerting</t>
        </is>
      </c>
      <c r="E11" s="8" t="n">
        <v>25</v>
      </c>
      <c r="F11" s="9">
        <f>E11*A$1</f>
        <v/>
      </c>
    </row>
    <row r="12" ht="14" customHeight="1">
      <c r="B12" s="6" t="n">
        <v>9</v>
      </c>
      <c r="C12" s="7" t="inlineStr">
        <is>
          <t>Secret Manager + Artifact Registry + Cloud Build + BigQuery</t>
        </is>
      </c>
      <c r="D12" s="7" t="inlineStr">
        <is>
          <t>Secrets · container images · CI builds · analytics warehouse (storage + query)</t>
        </is>
      </c>
      <c r="E12" s="8" t="n">
        <v>17.25</v>
      </c>
      <c r="F12" s="9">
        <f>E12*A$1</f>
        <v/>
      </c>
    </row>
    <row r="13">
      <c r="B13" s="10" t="inlineStr">
        <is>
          <t>Total Price Estimation Per-Month</t>
        </is>
      </c>
      <c r="C13" s="3" t="n"/>
      <c r="D13" s="4" t="n"/>
      <c r="E13" s="11">
        <f>SUM(E4:E12)</f>
        <v/>
      </c>
      <c r="F13" s="12">
        <f>SUM(F4:F12)</f>
        <v/>
      </c>
    </row>
    <row r="14">
      <c r="B14" s="10" t="inlineStr">
        <is>
          <t>Total Price Estimation Per-Year</t>
        </is>
      </c>
      <c r="C14" s="3" t="n"/>
      <c r="D14" s="4" t="n"/>
      <c r="E14" s="11">
        <f>E13*12</f>
        <v/>
      </c>
      <c r="F14" s="12">
        <f>F13*12</f>
        <v/>
      </c>
    </row>
    <row r="15">
      <c r="B15" s="13" t="inlineStr">
        <is>
          <t>Calculator Link:  https://cloud.google.com/products/calculator</t>
        </is>
      </c>
      <c r="C15" s="3" t="n"/>
      <c r="D15" s="3" t="n"/>
      <c r="E15" s="3" t="n"/>
      <c r="F15" s="4" t="n"/>
    </row>
    <row r="17">
      <c r="B17" s="2" t="inlineStr">
        <is>
          <t>One-time — Migration Period *</t>
        </is>
      </c>
      <c r="C17" s="3" t="n"/>
      <c r="D17" s="3" t="n"/>
      <c r="E17" s="3" t="n"/>
      <c r="F17" s="4" t="n"/>
    </row>
    <row r="18">
      <c r="B18" s="5" t="inlineStr">
        <is>
          <t>No</t>
        </is>
      </c>
      <c r="C18" s="5" t="inlineStr">
        <is>
          <t>GCP Component</t>
        </is>
      </c>
      <c r="D18" s="5" t="inlineStr">
        <is>
          <t>Component Details</t>
        </is>
      </c>
      <c r="E18" s="5" t="inlineStr">
        <is>
          <t>Price (USD)</t>
        </is>
      </c>
      <c r="F18" s="5" t="inlineStr">
        <is>
          <t>Price (IDR)</t>
        </is>
      </c>
    </row>
    <row r="19" ht="14" customHeight="1">
      <c r="B19" s="6" t="n">
        <v>1</v>
      </c>
      <c r="C19" s="7" t="inlineStr">
        <is>
          <t>Cloud Storage — migration staging</t>
        </is>
      </c>
      <c r="D19" s="7" t="inlineStr">
        <is>
          <t>Zendesk export staging bucket (Standard, ~50 GB, short-lived)</t>
        </is>
      </c>
      <c r="E19" s="8" t="n">
        <v>5</v>
      </c>
      <c r="F19" s="9">
        <f>E19*A$1</f>
        <v/>
      </c>
    </row>
    <row r="20" ht="14" customHeight="1">
      <c r="B20" s="6" t="n">
        <v>2</v>
      </c>
      <c r="C20" s="7" t="inlineStr">
        <is>
          <t>Data transfer / egress — migration</t>
        </is>
      </c>
      <c r="D20" s="7" t="inlineStr">
        <is>
          <t>One-time import/export bandwidth for tickets, contacts, KB, attachments</t>
        </is>
      </c>
      <c r="E20" s="8" t="n">
        <v>15</v>
      </c>
      <c r="F20" s="9">
        <f>E20*A$1</f>
        <v/>
      </c>
    </row>
    <row r="21" ht="14" customHeight="1">
      <c r="B21" s="6" t="n">
        <v>3</v>
      </c>
      <c r="C21" s="7" t="inlineStr">
        <is>
          <t>Temporary migration compute</t>
        </is>
      </c>
      <c r="D21" s="7" t="inlineStr">
        <is>
          <t>Short-lived job for bulk import + KB ingest into Vertex AI Search / pgvector</t>
        </is>
      </c>
      <c r="E21" s="8" t="n">
        <v>20</v>
      </c>
      <c r="F21" s="9">
        <f>E21*A$1</f>
        <v/>
      </c>
    </row>
    <row r="22">
      <c r="B22" s="10" t="inlineStr">
        <is>
          <t>Total Price Estimation Per-Month</t>
        </is>
      </c>
      <c r="C22" s="3" t="n"/>
      <c r="D22" s="4" t="n"/>
      <c r="E22" s="11">
        <f>SUM(E19:E21)</f>
        <v/>
      </c>
      <c r="F22" s="12">
        <f>SUM(F19:F21)</f>
        <v/>
      </c>
    </row>
    <row r="23">
      <c r="B23" s="10" t="inlineStr">
        <is>
          <t>Total Price Estimation Per-Year</t>
        </is>
      </c>
      <c r="C23" s="3" t="n"/>
      <c r="D23" s="4" t="n"/>
      <c r="E23" s="11">
        <f>E22*12</f>
        <v/>
      </c>
      <c r="F23" s="12">
        <f>F22*12</f>
        <v/>
      </c>
    </row>
    <row r="24">
      <c r="B24" s="13" t="inlineStr">
        <is>
          <t>Calculator Link:  https://cloud.google.com/products/calculator</t>
        </is>
      </c>
      <c r="C24" s="3" t="n"/>
      <c r="D24" s="3" t="n"/>
      <c r="E24" s="3" t="n"/>
      <c r="F24" s="4" t="n"/>
    </row>
    <row r="25">
      <c r="B25" s="14" t="inlineStr">
        <is>
          <t>*one time only during migration process</t>
        </is>
      </c>
    </row>
    <row r="27" ht="52" customHeight="1">
      <c r="B27" s="15" t="inlineStr">
        <is>
          <t>IDR shown at USD→IDR = cell A1 (16,500, editable). Indicative GCP list price (Jul 2026, asia-southeast1 / Singapore — nearest full-service region; Malaysia region not yet GA). Excludes negotiated discounts, taxes &amp; Google program funding. 1-yr committed-use discount lowers nodes ~$233 → ~$920/mo total. Infrastructure is unchanged from the baseline workbook — it carries the whole platform, so it is not split between this scope and the Packages A-G scope.</t>
        </is>
      </c>
    </row>
  </sheetData>
  <mergeCells count="9">
    <mergeCell ref="B14:D14"/>
    <mergeCell ref="B24:F24"/>
    <mergeCell ref="B2:F2"/>
    <mergeCell ref="B23:D23"/>
    <mergeCell ref="B15:F15"/>
    <mergeCell ref="B22:D22"/>
    <mergeCell ref="B13:D13"/>
    <mergeCell ref="B17:F17"/>
    <mergeCell ref="B27:F27"/>
  </mergeCells>
  <pageMargins left="0.2" right="0.2" top="0.3" bottom="0.3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L33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5" customWidth="1" min="3" max="3"/>
    <col width="60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</cols>
  <sheetData>
    <row r="2">
      <c r="B2" s="16" t="inlineStr">
        <is>
          <t>Phases</t>
        </is>
      </c>
      <c r="C2" s="4" t="n"/>
      <c r="D2" s="16" t="inlineStr">
        <is>
          <t>Task</t>
        </is>
      </c>
      <c r="E2" s="16" t="inlineStr">
        <is>
          <t>W1</t>
        </is>
      </c>
      <c r="F2" s="16" t="inlineStr">
        <is>
          <t>W2</t>
        </is>
      </c>
      <c r="G2" s="16" t="inlineStr">
        <is>
          <t>W3</t>
        </is>
      </c>
      <c r="H2" s="16" t="inlineStr">
        <is>
          <t>W4</t>
        </is>
      </c>
      <c r="I2" s="16" t="inlineStr">
        <is>
          <t>W5</t>
        </is>
      </c>
      <c r="J2" s="16" t="inlineStr">
        <is>
          <t>W6</t>
        </is>
      </c>
      <c r="K2" s="16" t="inlineStr">
        <is>
          <t>W7</t>
        </is>
      </c>
      <c r="L2" s="16" t="inlineStr">
        <is>
          <t>W8</t>
        </is>
      </c>
    </row>
    <row r="3">
      <c r="B3" s="17" t="inlineStr">
        <is>
          <t>Assessment &amp; Planning</t>
        </is>
      </c>
      <c r="C3" s="3" t="n"/>
      <c r="D3" s="4" t="n"/>
      <c r="E3" s="18" t="n"/>
      <c r="F3" s="18" t="n"/>
      <c r="G3" s="18" t="n"/>
      <c r="H3" s="18" t="n"/>
      <c r="I3" s="18" t="n"/>
      <c r="J3" s="18" t="n"/>
      <c r="K3" s="18" t="n"/>
      <c r="L3" s="18" t="n"/>
    </row>
    <row r="4" ht="26" customHeight="1">
      <c r="B4" s="19" t="inlineStr">
        <is>
          <t>1.0</t>
        </is>
      </c>
      <c r="C4" s="20" t="inlineStr">
        <is>
          <t>1.1</t>
        </is>
      </c>
      <c r="D4" s="21" t="inlineStr">
        <is>
          <t>Kick-off workshop; confirm scope against the BRD + Process-Flow workbook</t>
        </is>
      </c>
      <c r="E4" s="22" t="n"/>
      <c r="F4" s="23" t="n"/>
      <c r="G4" s="23" t="n"/>
      <c r="H4" s="23" t="n"/>
      <c r="I4" s="23" t="n"/>
      <c r="J4" s="23" t="n"/>
      <c r="K4" s="23" t="n"/>
      <c r="L4" s="23" t="n"/>
    </row>
    <row r="5" ht="26" customHeight="1">
      <c r="B5" s="24" t="n"/>
      <c r="C5" s="20" t="inlineStr">
        <is>
          <t>1.2</t>
        </is>
      </c>
      <c r="D5" s="21" t="inlineStr">
        <is>
          <t>Validate the 5-channel complaint SOP and the escalation matrix</t>
        </is>
      </c>
      <c r="E5" s="22" t="n"/>
      <c r="F5" s="23" t="n"/>
      <c r="G5" s="23" t="n"/>
      <c r="H5" s="23" t="n"/>
      <c r="I5" s="23" t="n"/>
      <c r="J5" s="23" t="n"/>
      <c r="K5" s="23" t="n"/>
      <c r="L5" s="23" t="n"/>
    </row>
    <row r="6" ht="26" customHeight="1">
      <c r="B6" s="25" t="n"/>
      <c r="C6" s="20" t="inlineStr">
        <is>
          <t>1.3</t>
        </is>
      </c>
      <c r="D6" s="21" t="inlineStr">
        <is>
          <t>Solution architecture, GCP landing-zone design &amp; migration plan</t>
        </is>
      </c>
      <c r="E6" s="22" t="n"/>
      <c r="F6" s="23" t="n"/>
      <c r="G6" s="23" t="n"/>
      <c r="H6" s="23" t="n"/>
      <c r="I6" s="23" t="n"/>
      <c r="J6" s="23" t="n"/>
      <c r="K6" s="23" t="n"/>
      <c r="L6" s="23" t="n"/>
    </row>
    <row r="7">
      <c r="B7" s="26" t="inlineStr">
        <is>
          <t>GCP Foundation &amp; Provisioning</t>
        </is>
      </c>
      <c r="C7" s="3" t="n"/>
      <c r="D7" s="4" t="n"/>
      <c r="E7" s="27" t="n"/>
      <c r="F7" s="27" t="n"/>
      <c r="G7" s="27" t="n"/>
      <c r="H7" s="27" t="n"/>
      <c r="I7" s="27" t="n"/>
      <c r="J7" s="27" t="n"/>
      <c r="K7" s="27" t="n"/>
      <c r="L7" s="27" t="n"/>
    </row>
    <row r="8" ht="26" customHeight="1">
      <c r="B8" s="19" t="inlineStr">
        <is>
          <t>2.0</t>
        </is>
      </c>
      <c r="C8" s="20" t="inlineStr">
        <is>
          <t>2.1</t>
        </is>
      </c>
      <c r="D8" s="21" t="inlineStr">
        <is>
          <t>Provision GCP project, VPC, IAM &amp; landing zone from accelerator IaC</t>
        </is>
      </c>
      <c r="E8" s="22" t="n"/>
      <c r="F8" s="22" t="n"/>
      <c r="G8" s="23" t="n"/>
      <c r="H8" s="23" t="n"/>
      <c r="I8" s="23" t="n"/>
      <c r="J8" s="23" t="n"/>
      <c r="K8" s="23" t="n"/>
      <c r="L8" s="23" t="n"/>
    </row>
    <row r="9" ht="26" customHeight="1">
      <c r="B9" s="24" t="n"/>
      <c r="C9" s="20" t="inlineStr">
        <is>
          <t>2.2</t>
        </is>
      </c>
      <c r="D9" s="21" t="inlineStr">
        <is>
          <t>GKE Standard cluster + node pools; Cloud SQL (HA), Memorystore, BigQuery, Artifact Registry</t>
        </is>
      </c>
      <c r="E9" s="23" t="n"/>
      <c r="F9" s="22" t="n"/>
      <c r="G9" s="23" t="n"/>
      <c r="H9" s="23" t="n"/>
      <c r="I9" s="23" t="n"/>
      <c r="J9" s="23" t="n"/>
      <c r="K9" s="23" t="n"/>
      <c r="L9" s="23" t="n"/>
    </row>
    <row r="10" ht="26" customHeight="1">
      <c r="B10" s="25" t="n"/>
      <c r="C10" s="20" t="inlineStr">
        <is>
          <t>2.3</t>
        </is>
      </c>
      <c r="D10" s="21" t="inlineStr">
        <is>
          <t>CI/CD (Cloud Build), Secret Manager, monitoring baseline &amp; environment smoke test</t>
        </is>
      </c>
      <c r="E10" s="23" t="n"/>
      <c r="F10" s="22" t="n"/>
      <c r="G10" s="23" t="n"/>
      <c r="H10" s="23" t="n"/>
      <c r="I10" s="23" t="n"/>
      <c r="J10" s="23" t="n"/>
      <c r="K10" s="23" t="n"/>
      <c r="L10" s="23" t="n"/>
    </row>
    <row r="11">
      <c r="B11" s="17" t="inlineStr">
        <is>
          <t>Core Platform Cutover</t>
        </is>
      </c>
      <c r="C11" s="3" t="n"/>
      <c r="D11" s="4" t="n"/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 ht="26" customHeight="1">
      <c r="B12" s="19" t="inlineStr">
        <is>
          <t>3.0</t>
        </is>
      </c>
      <c r="C12" s="20" t="inlineStr">
        <is>
          <t>3.1</t>
        </is>
      </c>
      <c r="D12" s="21" t="inlineStr">
        <is>
          <t>Deploy Chatwoot + agent + backend on GKE via accelerator Helm charts</t>
        </is>
      </c>
      <c r="E12" s="23" t="n"/>
      <c r="F12" s="22" t="n"/>
      <c r="G12" s="22" t="n"/>
      <c r="H12" s="23" t="n"/>
      <c r="I12" s="23" t="n"/>
      <c r="J12" s="23" t="n"/>
      <c r="K12" s="23" t="n"/>
      <c r="L12" s="23" t="n"/>
    </row>
    <row r="13" ht="26" customHeight="1">
      <c r="B13" s="24" t="n"/>
      <c r="C13" s="20" t="inlineStr">
        <is>
          <t>3.2</t>
        </is>
      </c>
      <c r="D13" s="21" t="inlineStr">
        <is>
          <t>Migrate Zendesk tickets, contacts, history &amp; attachments</t>
        </is>
      </c>
      <c r="E13" s="23" t="n"/>
      <c r="F13" s="23" t="n"/>
      <c r="G13" s="22" t="n"/>
      <c r="H13" s="22" t="n"/>
      <c r="I13" s="23" t="n"/>
      <c r="J13" s="23" t="n"/>
      <c r="K13" s="23" t="n"/>
      <c r="L13" s="23" t="n"/>
    </row>
    <row r="14" ht="26" customHeight="1">
      <c r="B14" s="24" t="n"/>
      <c r="C14" s="20" t="inlineStr">
        <is>
          <t>3.3</t>
        </is>
      </c>
      <c r="D14" s="21" t="inlineStr">
        <is>
          <t>Migrate the knowledge base to pgvector + Vertex AI Search</t>
        </is>
      </c>
      <c r="E14" s="23" t="n"/>
      <c r="F14" s="23" t="n"/>
      <c r="G14" s="22" t="n"/>
      <c r="H14" s="22" t="n"/>
      <c r="I14" s="23" t="n"/>
      <c r="J14" s="23" t="n"/>
      <c r="K14" s="23" t="n"/>
      <c r="L14" s="23" t="n"/>
    </row>
    <row r="15" ht="26" customHeight="1">
      <c r="B15" s="24" t="n"/>
      <c r="C15" s="20" t="inlineStr">
        <is>
          <t>3.4</t>
        </is>
      </c>
      <c r="D15" s="21" t="inlineStr">
        <is>
          <t>Wire channels: WhatsApp (Twilio), Website widget, API, Email</t>
        </is>
      </c>
      <c r="E15" s="23" t="n"/>
      <c r="F15" s="23" t="n"/>
      <c r="G15" s="22" t="n"/>
      <c r="H15" s="22" t="n"/>
      <c r="I15" s="23" t="n"/>
      <c r="J15" s="23" t="n"/>
      <c r="K15" s="23" t="n"/>
      <c r="L15" s="23" t="n"/>
    </row>
    <row r="16" ht="26" customHeight="1">
      <c r="B16" s="25" t="n"/>
      <c r="C16" s="20" t="inlineStr">
        <is>
          <t>3.5</t>
        </is>
      </c>
      <c r="D16" s="21" t="inlineStr">
        <is>
          <t>Enable the AI layer &amp; SOP lifecycle flows; reconcile migrated records</t>
        </is>
      </c>
      <c r="E16" s="23" t="n"/>
      <c r="F16" s="23" t="n"/>
      <c r="G16" s="23" t="n"/>
      <c r="H16" s="22" t="n"/>
      <c r="I16" s="23" t="n"/>
      <c r="J16" s="23" t="n"/>
      <c r="K16" s="23" t="n"/>
      <c r="L16" s="23" t="n"/>
    </row>
    <row r="17">
      <c r="B17" s="26" t="inlineStr">
        <is>
          <t>Gap Closure</t>
        </is>
      </c>
      <c r="C17" s="3" t="n"/>
      <c r="D17" s="4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26" customHeight="1">
      <c r="B18" s="19" t="inlineStr">
        <is>
          <t>4.0</t>
        </is>
      </c>
      <c r="C18" s="20" t="inlineStr">
        <is>
          <t>4.1</t>
        </is>
      </c>
      <c r="D18" s="21" t="inlineStr">
        <is>
          <t>Email escalation — auto-ack once per thread + separate internal case</t>
        </is>
      </c>
      <c r="E18" s="23" t="n"/>
      <c r="F18" s="23" t="n"/>
      <c r="G18" s="23" t="n"/>
      <c r="H18" s="22" t="n"/>
      <c r="I18" s="22" t="n"/>
      <c r="J18" s="23" t="n"/>
      <c r="K18" s="23" t="n"/>
      <c r="L18" s="23" t="n"/>
    </row>
    <row r="19" ht="26" customHeight="1">
      <c r="B19" s="24" t="n"/>
      <c r="C19" s="20" t="inlineStr">
        <is>
          <t>4.2</t>
        </is>
      </c>
      <c r="D19" s="21" t="inlineStr">
        <is>
          <t>Customer 360 card and the DMS/TSP integration surface</t>
        </is>
      </c>
      <c r="E19" s="23" t="n"/>
      <c r="F19" s="23" t="n"/>
      <c r="G19" s="23" t="n"/>
      <c r="H19" s="22" t="n"/>
      <c r="I19" s="22" t="n"/>
      <c r="J19" s="23" t="n"/>
      <c r="K19" s="23" t="n"/>
      <c r="L19" s="23" t="n"/>
    </row>
    <row r="20" ht="26" customHeight="1">
      <c r="B20" s="24" t="n"/>
      <c r="C20" s="20" t="inlineStr">
        <is>
          <t>4.3</t>
        </is>
      </c>
      <c r="D20" s="21" t="inlineStr">
        <is>
          <t>Case management — hierarchical categories, per-case dashboard, RBAC</t>
        </is>
      </c>
      <c r="E20" s="23" t="n"/>
      <c r="F20" s="23" t="n"/>
      <c r="G20" s="23" t="n"/>
      <c r="H20" s="23" t="n"/>
      <c r="I20" s="22" t="n"/>
      <c r="J20" s="23" t="n"/>
      <c r="K20" s="23" t="n"/>
      <c r="L20" s="23" t="n"/>
    </row>
    <row r="21" ht="26" customHeight="1">
      <c r="B21" s="25" t="n"/>
      <c r="C21" s="20" t="inlineStr">
        <is>
          <t>4.4</t>
        </is>
      </c>
      <c r="D21" s="21" t="inlineStr">
        <is>
          <t>Reporting &amp; BI; agent management; bulk FAQ upload, multi-language &amp; multimodal</t>
        </is>
      </c>
      <c r="E21" s="23" t="n"/>
      <c r="F21" s="23" t="n"/>
      <c r="G21" s="23" t="n"/>
      <c r="H21" s="23" t="n"/>
      <c r="I21" s="22" t="n"/>
      <c r="J21" s="23" t="n"/>
      <c r="K21" s="23" t="n"/>
      <c r="L21" s="23" t="n"/>
    </row>
    <row r="22">
      <c r="B22" s="17" t="inlineStr">
        <is>
          <t>Hardening, HA &amp; UAT</t>
        </is>
      </c>
      <c r="C22" s="3" t="n"/>
      <c r="D22" s="4" t="n"/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 ht="26" customHeight="1">
      <c r="B23" s="19" t="inlineStr">
        <is>
          <t>5.0</t>
        </is>
      </c>
      <c r="C23" s="20" t="inlineStr">
        <is>
          <t>5.1</t>
        </is>
      </c>
      <c r="D23" s="21" t="inlineStr">
        <is>
          <t>HA / autoscaling, resource tuning; monitoring, alerting &amp; logging</t>
        </is>
      </c>
      <c r="E23" s="23" t="n"/>
      <c r="F23" s="23" t="n"/>
      <c r="G23" s="23" t="n"/>
      <c r="H23" s="23" t="n"/>
      <c r="I23" s="22" t="n"/>
      <c r="J23" s="22" t="n"/>
      <c r="K23" s="23" t="n"/>
      <c r="L23" s="23" t="n"/>
    </row>
    <row r="24" ht="26" customHeight="1">
      <c r="B24" s="24" t="n"/>
      <c r="C24" s="20" t="inlineStr">
        <is>
          <t>5.2</t>
        </is>
      </c>
      <c r="D24" s="21" t="inlineStr">
        <is>
          <t>Backups &amp; disaster-recovery runbook, with a restore test</t>
        </is>
      </c>
      <c r="E24" s="23" t="n"/>
      <c r="F24" s="23" t="n"/>
      <c r="G24" s="23" t="n"/>
      <c r="H24" s="23" t="n"/>
      <c r="I24" s="23" t="n"/>
      <c r="J24" s="22" t="n"/>
      <c r="K24" s="23" t="n"/>
      <c r="L24" s="23" t="n"/>
    </row>
    <row r="25" ht="26" customHeight="1">
      <c r="B25" s="24" t="n"/>
      <c r="C25" s="20" t="inlineStr">
        <is>
          <t>5.3</t>
        </is>
      </c>
      <c r="D25" s="21" t="inlineStr">
        <is>
          <t>Security review, RBAC verification &amp; secret rotation</t>
        </is>
      </c>
      <c r="E25" s="23" t="n"/>
      <c r="F25" s="23" t="n"/>
      <c r="G25" s="23" t="n"/>
      <c r="H25" s="23" t="n"/>
      <c r="I25" s="23" t="n"/>
      <c r="J25" s="22" t="n"/>
      <c r="K25" s="23" t="n"/>
      <c r="L25" s="23" t="n"/>
    </row>
    <row r="26" ht="26" customHeight="1">
      <c r="B26" s="24" t="n"/>
      <c r="C26" s="20" t="inlineStr">
        <is>
          <t>5.4</t>
        </is>
      </c>
      <c r="D26" s="21" t="inlineStr">
        <is>
          <t>Live channel verification (WhatsApp, phone, email, web)</t>
        </is>
      </c>
      <c r="E26" s="23" t="n"/>
      <c r="F26" s="23" t="n"/>
      <c r="G26" s="23" t="n"/>
      <c r="H26" s="23" t="n"/>
      <c r="I26" s="23" t="n"/>
      <c r="J26" s="22" t="n"/>
      <c r="K26" s="22" t="n"/>
      <c r="L26" s="23" t="n"/>
    </row>
    <row r="27" ht="26" customHeight="1">
      <c r="B27" s="25" t="n"/>
      <c r="C27" s="20" t="inlineStr">
        <is>
          <t>5.5</t>
        </is>
      </c>
      <c r="D27" s="21" t="inlineStr">
        <is>
          <t>UAT cycles, defect triage &amp; fixes; data reconciliation &amp; sign-off</t>
        </is>
      </c>
      <c r="E27" s="23" t="n"/>
      <c r="F27" s="23" t="n"/>
      <c r="G27" s="23" t="n"/>
      <c r="H27" s="23" t="n"/>
      <c r="I27" s="23" t="n"/>
      <c r="J27" s="22" t="n"/>
      <c r="K27" s="22" t="n"/>
      <c r="L27" s="23" t="n"/>
    </row>
    <row r="28">
      <c r="B28" s="26" t="inlineStr">
        <is>
          <t>Cutover, Handover &amp; Training</t>
        </is>
      </c>
      <c r="C28" s="3" t="n"/>
      <c r="D28" s="4" t="n"/>
      <c r="E28" s="27" t="n"/>
      <c r="F28" s="27" t="n"/>
      <c r="G28" s="27" t="n"/>
      <c r="H28" s="27" t="n"/>
      <c r="I28" s="27" t="n"/>
      <c r="J28" s="27" t="n"/>
      <c r="K28" s="27" t="n"/>
      <c r="L28" s="27" t="n"/>
    </row>
    <row r="29" ht="26" customHeight="1">
      <c r="B29" s="19" t="inlineStr">
        <is>
          <t>6.0</t>
        </is>
      </c>
      <c r="C29" s="20" t="inlineStr">
        <is>
          <t>6.1</t>
        </is>
      </c>
      <c r="D29" s="21" t="inlineStr">
        <is>
          <t>Cutover plan, go-live &amp; hypercare window</t>
        </is>
      </c>
      <c r="E29" s="23" t="n"/>
      <c r="F29" s="23" t="n"/>
      <c r="G29" s="23" t="n"/>
      <c r="H29" s="23" t="n"/>
      <c r="I29" s="23" t="n"/>
      <c r="J29" s="23" t="n"/>
      <c r="K29" s="22" t="n"/>
      <c r="L29" s="23" t="n"/>
    </row>
    <row r="30" ht="26" customHeight="1">
      <c r="B30" s="24" t="n"/>
      <c r="C30" s="20" t="inlineStr">
        <is>
          <t>6.2</t>
        </is>
      </c>
      <c r="D30" s="21" t="inlineStr">
        <is>
          <t>Zendesk decommission &amp; licence termination</t>
        </is>
      </c>
      <c r="E30" s="23" t="n"/>
      <c r="F30" s="23" t="n"/>
      <c r="G30" s="23" t="n"/>
      <c r="H30" s="23" t="n"/>
      <c r="I30" s="23" t="n"/>
      <c r="J30" s="23" t="n"/>
      <c r="K30" s="23" t="n"/>
      <c r="L30" s="22" t="n"/>
    </row>
    <row r="31" ht="26" customHeight="1">
      <c r="B31" s="25" t="n"/>
      <c r="C31" s="20" t="inlineStr">
        <is>
          <t>6.3</t>
        </is>
      </c>
      <c r="D31" s="21" t="inlineStr">
        <is>
          <t>Ops runbook; admin &amp; agent training; knowledge transfer &amp; closure</t>
        </is>
      </c>
      <c r="E31" s="23" t="n"/>
      <c r="F31" s="23" t="n"/>
      <c r="G31" s="23" t="n"/>
      <c r="H31" s="23" t="n"/>
      <c r="I31" s="23" t="n"/>
      <c r="J31" s="23" t="n"/>
      <c r="K31" s="22" t="n"/>
      <c r="L31" s="22" t="n"/>
    </row>
    <row r="33" ht="44" customHeight="1">
      <c r="B33" s="15" t="inlineStr">
        <is>
          <t>Accelerated delivery — 8 weeks (2 months), 36 working days of duration, against 16 weeks on the standard-build plan. The compression comes from the accelerator: the landing zone and GKE/Helm deployment are parameterised rather than authored, migration runs on existing tooling, HA/observability/DR ship as baselines, and the runbook and training material start from templates. Phases overlap — Gap Closure begins while the platform cutover is still settling. Assumes PROTON supplies the Zendesk export, DMS/TSP API access and UAT participants on schedule.</t>
        </is>
      </c>
    </row>
  </sheetData>
  <mergeCells count="14">
    <mergeCell ref="B11:D11"/>
    <mergeCell ref="B28:D28"/>
    <mergeCell ref="B3:D3"/>
    <mergeCell ref="B2:C2"/>
    <mergeCell ref="B4:B6"/>
    <mergeCell ref="B22:D22"/>
    <mergeCell ref="B33:L33"/>
    <mergeCell ref="B18:B21"/>
    <mergeCell ref="B17:D17"/>
    <mergeCell ref="B12:B16"/>
    <mergeCell ref="B29:B31"/>
    <mergeCell ref="B8:B10"/>
    <mergeCell ref="B7:D7"/>
    <mergeCell ref="B23:B27"/>
  </mergeCells>
  <pageMargins left="0.2" right="0.2" top="0.3" bottom="0.3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1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58" customWidth="1" min="3" max="3"/>
    <col width="20" customWidth="1" min="4" max="4"/>
    <col width="11" customWidth="1" min="5" max="5"/>
    <col width="18" customWidth="1" min="6" max="6"/>
    <col width="2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  <col width="2" customWidth="1" min="16" max="16"/>
    <col width="20" customWidth="1" min="17" max="17"/>
    <col width="18" customWidth="1" min="18" max="18"/>
    <col width="15" customWidth="1" min="19" max="19"/>
  </cols>
  <sheetData>
    <row r="1">
      <c r="A1" s="1" t="n">
        <v>16500</v>
      </c>
    </row>
    <row r="2">
      <c r="Q2" s="28" t="inlineStr">
        <is>
          <t>Role / Seniority</t>
        </is>
      </c>
      <c r="R2" s="29" t="inlineStr">
        <is>
          <t>Sales price / hour (IDR)</t>
        </is>
      </c>
      <c r="S2" s="29" t="inlineStr">
        <is>
          <t>Per day (× 8)</t>
        </is>
      </c>
    </row>
    <row r="3">
      <c r="B3" s="30" t="inlineStr">
        <is>
          <t>Professional Services — PROTON CRM (self-managed on Google Cloud) · accelerated delivery, 2 months</t>
        </is>
      </c>
      <c r="C3" s="3" t="n"/>
      <c r="D3" s="3" t="n"/>
      <c r="E3" s="3" t="n"/>
      <c r="F3" s="4" t="n"/>
      <c r="I3" s="31" t="inlineStr">
        <is>
          <t>Lead Consultant</t>
        </is>
      </c>
      <c r="J3" s="31" t="inlineStr">
        <is>
          <t>Lead Consultant</t>
        </is>
      </c>
      <c r="K3" s="31" t="inlineStr">
        <is>
          <t>Senior Consultant</t>
        </is>
      </c>
      <c r="L3" s="31" t="inlineStr">
        <is>
          <t>Consultant</t>
        </is>
      </c>
      <c r="M3" s="31" t="inlineStr">
        <is>
          <t>Senior Consultant</t>
        </is>
      </c>
      <c r="N3" s="31" t="inlineStr">
        <is>
          <t>Consultant</t>
        </is>
      </c>
      <c r="O3" s="32" t="inlineStr">
        <is>
          <t>Total</t>
        </is>
      </c>
      <c r="Q3" s="33" t="inlineStr">
        <is>
          <t>Consultant</t>
        </is>
      </c>
      <c r="R3" s="34" t="n">
        <v>350000</v>
      </c>
      <c r="S3" s="34">
        <f>R3*8</f>
        <v/>
      </c>
    </row>
    <row r="4">
      <c r="B4" s="30" t="inlineStr">
        <is>
          <t>Milestone</t>
        </is>
      </c>
      <c r="C4" s="30" t="inlineStr">
        <is>
          <t>Activity</t>
        </is>
      </c>
      <c r="D4" s="30" t="inlineStr">
        <is>
          <t>Resources</t>
        </is>
      </c>
      <c r="E4" s="30" t="inlineStr">
        <is>
          <t>Duration (Week)</t>
        </is>
      </c>
      <c r="F4" s="30" t="inlineStr">
        <is>
          <t>Service Price</t>
        </is>
      </c>
      <c r="H4" s="35" t="inlineStr">
        <is>
          <t>Duration (Days)</t>
        </is>
      </c>
      <c r="I4" s="31" t="inlineStr">
        <is>
          <t>Project Manager</t>
        </is>
      </c>
      <c r="J4" s="31" t="inlineStr">
        <is>
          <t>Solution Architect / Tech Lead</t>
        </is>
      </c>
      <c r="K4" s="31" t="inlineStr">
        <is>
          <t>Backend / AI Engineer</t>
        </is>
      </c>
      <c r="L4" s="31" t="inlineStr">
        <is>
          <t>Frontend Engineer</t>
        </is>
      </c>
      <c r="M4" s="31" t="inlineStr">
        <is>
          <t>Data / BI Engineer</t>
        </is>
      </c>
      <c r="N4" s="31" t="inlineStr">
        <is>
          <t>QA Engineer</t>
        </is>
      </c>
      <c r="O4" s="36" t="inlineStr">
        <is>
          <t>(mandays)</t>
        </is>
      </c>
      <c r="Q4" s="33" t="inlineStr">
        <is>
          <t>Senior Consultant</t>
        </is>
      </c>
      <c r="R4" s="34" t="n">
        <v>606250</v>
      </c>
      <c r="S4" s="34">
        <f>R4*8</f>
        <v/>
      </c>
    </row>
    <row r="5" ht="84" customHeight="1">
      <c r="B5" s="37" t="inlineStr">
        <is>
          <t>Phase 1 : Assessment &amp; Planning</t>
        </is>
      </c>
      <c r="C5" s="38" t="inlineStr">
        <is>
          <t>•  Kick-off workshop; confirm scope against the BRD + Process-Flow workbook
•  Validate the 5-channel complaint SOP and the escalation matrix
•  Solution architecture &amp; GCP landing-zone design (GKE Standard, VPC, IAM)
•  Migration plan and Zendesk data-mapping approach
•  Delivery plan, RAID log and acceptance criteria agreed</t>
        </is>
      </c>
      <c r="D5" s="37" t="inlineStr">
        <is>
          <t>Project Manager
Solution Architect
Backend/AI Engineer</t>
        </is>
      </c>
      <c r="E5" s="39">
        <f>ROUNDUP(H5/5,0)</f>
        <v/>
      </c>
      <c r="F5" s="40">
        <f>ROUNDUP(O13,-2)</f>
        <v/>
      </c>
      <c r="H5" s="41" t="n">
        <v>3</v>
      </c>
      <c r="I5" s="41" t="n">
        <v>2</v>
      </c>
      <c r="J5" s="41" t="n">
        <v>3</v>
      </c>
      <c r="K5" s="41" t="n">
        <v>3</v>
      </c>
      <c r="L5" s="41" t="n">
        <v>0</v>
      </c>
      <c r="M5" s="41" t="n">
        <v>0</v>
      </c>
      <c r="N5" s="41" t="n">
        <v>0</v>
      </c>
      <c r="O5" s="41">
        <f>SUM(I5:N5)</f>
        <v/>
      </c>
      <c r="Q5" s="33" t="inlineStr">
        <is>
          <t>Lead Consultant</t>
        </is>
      </c>
      <c r="R5" s="34" t="n">
        <v>700000</v>
      </c>
      <c r="S5" s="34">
        <f>R5*8</f>
        <v/>
      </c>
    </row>
    <row r="6" ht="84" customHeight="1">
      <c r="B6" s="37" t="inlineStr">
        <is>
          <t>Phase 2 : GCP Foundation &amp; Provisioning</t>
        </is>
      </c>
      <c r="C6" s="38" t="inlineStr">
        <is>
          <t>•  Provision GCP project, VPC, IAM and landing zone from accelerator IaC
•  Stand up GKE Standard cluster + node pools
•  Provision Cloud SQL (HA), Memorystore, BigQuery and Artifact Registry
•  Configure CI/CD (Cloud Build), Secret Manager and the monitoring baseline
•  Environment smoke test and access handover</t>
        </is>
      </c>
      <c r="D6" s="37" t="inlineStr">
        <is>
          <t>Solution Architect
DevOps / Backend
Data/BI Engineer
Project Manager</t>
        </is>
      </c>
      <c r="E6" s="39">
        <f>ROUNDUP(H6/5,0)</f>
        <v/>
      </c>
      <c r="F6" s="24" t="n"/>
      <c r="H6" s="41" t="n">
        <v>3</v>
      </c>
      <c r="I6" s="41" t="n">
        <v>2</v>
      </c>
      <c r="J6" s="41" t="n">
        <v>3</v>
      </c>
      <c r="K6" s="41" t="n">
        <v>3</v>
      </c>
      <c r="L6" s="41" t="n">
        <v>1</v>
      </c>
      <c r="M6" s="41" t="n">
        <v>2</v>
      </c>
      <c r="N6" s="41" t="n">
        <v>1</v>
      </c>
      <c r="O6" s="41">
        <f>SUM(I6:N6)</f>
        <v/>
      </c>
      <c r="Q6" s="33" t="inlineStr">
        <is>
          <t>Principal</t>
        </is>
      </c>
      <c r="R6" s="34" t="n">
        <v>825000</v>
      </c>
      <c r="S6" s="34">
        <f>R6*8</f>
        <v/>
      </c>
    </row>
    <row r="7" ht="84" customHeight="1">
      <c r="B7" s="37" t="inlineStr">
        <is>
          <t>Phase 3 : Core Platform Cutover</t>
        </is>
      </c>
      <c r="C7" s="38" t="inlineStr">
        <is>
          <t>•  Deploy Chatwoot + agent + backend on GKE via accelerator Helm charts
•  Migrate Zendesk tickets, contacts, history and attachments
•  Migrate the knowledge base to pgvector + Vertex AI Search
•  Wire channels: WhatsApp (Twilio), Website widget, API, Email
•  Enable the AI layer and SOP lifecycle flows (disclaimer, idle-close, YES/NO, rating, auto-classify)
•  Reconcile migrated records and confirm counts</t>
        </is>
      </c>
      <c r="D7" s="37" t="inlineStr">
        <is>
          <t>Project Manager
Backend/AI Engineer
Frontend Engineer
Data/BI Engineer
QA</t>
        </is>
      </c>
      <c r="E7" s="39">
        <f>ROUNDUP(H7/5,0)</f>
        <v/>
      </c>
      <c r="F7" s="24" t="n"/>
      <c r="H7" s="41" t="n">
        <v>10</v>
      </c>
      <c r="I7" s="41" t="n">
        <v>5</v>
      </c>
      <c r="J7" s="41" t="n">
        <v>1</v>
      </c>
      <c r="K7" s="41" t="n">
        <v>10</v>
      </c>
      <c r="L7" s="41" t="n">
        <v>10</v>
      </c>
      <c r="M7" s="41" t="n">
        <v>2</v>
      </c>
      <c r="N7" s="41" t="n">
        <v>2</v>
      </c>
      <c r="O7" s="41">
        <f>SUM(I7:N7)</f>
        <v/>
      </c>
      <c r="Q7" s="33" t="inlineStr">
        <is>
          <t>Expert / Director</t>
        </is>
      </c>
      <c r="R7" s="34" t="n">
        <v>1275000</v>
      </c>
      <c r="S7" s="34">
        <f>R7*8</f>
        <v/>
      </c>
    </row>
    <row r="8" ht="84" customHeight="1">
      <c r="B8" s="37" t="inlineStr">
        <is>
          <t>Phase 4 : Gap Closure</t>
        </is>
      </c>
      <c r="C8" s="38" t="inlineStr">
        <is>
          <t>•  Email escalation — auto-ack once per thread + separate internal case
•  Customer 360 card and the DMS/TSP integration surface
•  Case management — hierarchical categories, per-case dashboard, RBAC
•  Reporting &amp; BI — BigQuery views, role-based dashboards, NPS/CRR
•  Agent management — channel priority, auto-busy, status labels
•  Bulk FAQ/PDF upload; multi-language and multimodal handling</t>
        </is>
      </c>
      <c r="D8" s="37" t="inlineStr">
        <is>
          <t>Backend/AI Engineer
Frontend Engineer
Data/BI Engineer
Solution Architect
QA</t>
        </is>
      </c>
      <c r="E8" s="39">
        <f>ROUNDUP(H8/5,0)</f>
        <v/>
      </c>
      <c r="F8" s="24" t="n"/>
      <c r="H8" s="41" t="n">
        <v>5</v>
      </c>
      <c r="I8" s="41" t="n">
        <v>5</v>
      </c>
      <c r="J8" s="41" t="n">
        <v>3</v>
      </c>
      <c r="K8" s="41" t="n">
        <v>5</v>
      </c>
      <c r="L8" s="41" t="n">
        <v>5</v>
      </c>
      <c r="M8" s="41" t="n">
        <v>2</v>
      </c>
      <c r="N8" s="41" t="n">
        <v>2</v>
      </c>
      <c r="O8" s="41">
        <f>SUM(I8:N8)</f>
        <v/>
      </c>
      <c r="Q8" s="33" t="inlineStr">
        <is>
          <t>Margin</t>
        </is>
      </c>
      <c r="R8" s="42" t="n">
        <v>0.15</v>
      </c>
    </row>
    <row r="9" ht="84" customHeight="1">
      <c r="B9" s="37" t="inlineStr">
        <is>
          <t>Phase 5 : Hardening, HA &amp; UAT</t>
        </is>
      </c>
      <c r="C9" s="38" t="inlineStr">
        <is>
          <t>•  HA / autoscaling and resource tuning
•  Monitoring, alerting and centralised logging
•  Backups and disaster-recovery runbook, with a restore test
•  Security review, RBAC verification and secret rotation
•  Live channel verification (WhatsApp, phone, email, web)
•  UAT cycles, defect triage and fixes; data reconciliation and sign-off</t>
        </is>
      </c>
      <c r="D9" s="37" t="inlineStr">
        <is>
          <t>DevOps / Backend
QA
Backend/AI Engineer
Data/BI Engineer
Project Manager</t>
        </is>
      </c>
      <c r="E9" s="39">
        <f>ROUNDUP(H9/5,0)</f>
        <v/>
      </c>
      <c r="F9" s="24" t="n"/>
      <c r="H9" s="41" t="n">
        <v>10</v>
      </c>
      <c r="I9" s="41" t="n">
        <v>5</v>
      </c>
      <c r="J9" s="41" t="n">
        <v>2</v>
      </c>
      <c r="K9" s="41" t="n">
        <v>10</v>
      </c>
      <c r="L9" s="41" t="n">
        <v>5</v>
      </c>
      <c r="M9" s="41" t="n">
        <v>5</v>
      </c>
      <c r="N9" s="41" t="n">
        <v>5</v>
      </c>
      <c r="O9" s="41">
        <f>SUM(I9:N9)</f>
        <v/>
      </c>
    </row>
    <row r="10" ht="84" customHeight="1">
      <c r="B10" s="37" t="inlineStr">
        <is>
          <t>Phase 6 : Cutover, Handover &amp; Training</t>
        </is>
      </c>
      <c r="C10" s="38" t="inlineStr">
        <is>
          <t>•  Cutover plan, go-live and the hypercare window
•  Zendesk decommission and licence termination
•  Ops runbook — deploy, backup/restore, monitoring, tenant provisioning
•  Admin and agent training sessions
•  Knowledge transfer and project closure report</t>
        </is>
      </c>
      <c r="D10" s="37" t="inlineStr">
        <is>
          <t>Project Manager
Solution Architect
Backend/AI Engineer
Data/BI Engineer</t>
        </is>
      </c>
      <c r="E10" s="39">
        <f>ROUNDUP(H10/5,0)</f>
        <v/>
      </c>
      <c r="F10" s="25" t="n"/>
      <c r="H10" s="41" t="n">
        <v>5</v>
      </c>
      <c r="I10" s="41" t="n">
        <v>4</v>
      </c>
      <c r="J10" s="41" t="n">
        <v>5</v>
      </c>
      <c r="K10" s="41" t="n">
        <v>5</v>
      </c>
      <c r="L10" s="41" t="n">
        <v>0</v>
      </c>
      <c r="M10" s="41" t="n">
        <v>2</v>
      </c>
      <c r="N10" s="41" t="n">
        <v>0</v>
      </c>
      <c r="O10" s="41">
        <f>SUM(I10:N10)</f>
        <v/>
      </c>
    </row>
    <row r="11">
      <c r="H11" s="43" t="inlineStr">
        <is>
          <t>Total Mandays</t>
        </is>
      </c>
      <c r="I11" s="6">
        <f>SUM(I5:I10)</f>
        <v/>
      </c>
      <c r="J11" s="6">
        <f>SUM(J5:J10)</f>
        <v/>
      </c>
      <c r="K11" s="6">
        <f>SUM(K5:K10)</f>
        <v/>
      </c>
      <c r="L11" s="6">
        <f>SUM(L5:L10)</f>
        <v/>
      </c>
      <c r="M11" s="6">
        <f>SUM(M5:M10)</f>
        <v/>
      </c>
      <c r="N11" s="6">
        <f>SUM(N5:N10)</f>
        <v/>
      </c>
      <c r="O11" s="44">
        <f>SUM(I11:N11)</f>
        <v/>
      </c>
    </row>
    <row r="12">
      <c r="H12" s="43" t="inlineStr">
        <is>
          <t>Total Mandays Price</t>
        </is>
      </c>
      <c r="I12" s="45">
        <f>I11*8*$R$5</f>
        <v/>
      </c>
      <c r="J12" s="45">
        <f>J11*8*$R$5</f>
        <v/>
      </c>
      <c r="K12" s="45">
        <f>K11*8*$R$4</f>
        <v/>
      </c>
      <c r="L12" s="45">
        <f>L11*8*$R$3</f>
        <v/>
      </c>
      <c r="M12" s="45">
        <f>M11*8*$R$4</f>
        <v/>
      </c>
      <c r="N12" s="45">
        <f>N11*8*$R$3</f>
        <v/>
      </c>
      <c r="O12" s="46">
        <f>SUM(I12:N12)</f>
        <v/>
      </c>
    </row>
    <row r="13">
      <c r="H13" s="47" t="inlineStr">
        <is>
          <t>Total Price Including Margin</t>
        </is>
      </c>
      <c r="I13" s="23" t="n"/>
      <c r="J13" s="3" t="n"/>
      <c r="K13" s="3" t="n"/>
      <c r="L13" s="3" t="n"/>
      <c r="M13" s="3" t="n"/>
      <c r="N13" s="4" t="n"/>
      <c r="O13" s="46">
        <f>O12*(1+$R$8)</f>
        <v/>
      </c>
    </row>
    <row r="15" ht="70" customHeight="1">
      <c r="B15" s="15" t="inlineStr">
        <is>
          <t>Accelerated delivery: 120 mandays over 36 working days (~2 months), against 252 mandays over 16 weeks on the standard-build plan. The compression comes from the accelerator — the landing zone and GKE/Helm deployment are parameterised rather than authored, migration runs on existing tooling, HA/observability/DR ship as baselines, release is scripted, and the runbook and training material start from templates. Assumes PROTON supplies the Zendesk export, DMS/TSP API access and UAT participants on schedule; slippage on any of those moves the go-live date rather than being absorbed. Mandays are an indicative delivery estimate; day-rates and margin are editable in the rate card (Q:S). Note the Solution Architect is priced at the Lead Consultant rate. May be offset by Google program funding.</t>
        </is>
      </c>
    </row>
  </sheetData>
  <mergeCells count="4">
    <mergeCell ref="F5:F10"/>
    <mergeCell ref="I13:N13"/>
    <mergeCell ref="B3:F3"/>
    <mergeCell ref="B15:O15"/>
  </mergeCells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2026-08-04T15:02:22Z</dcterms:created>
  <dcterms:modified xmlns:dcterms="http://purl.org/dc/terms/" xmlns:xsi="http://www.w3.org/2001/XMLSchema-instance" xsi:type="dcterms:W3CDTF">2026-08-04T15:02:22Z</dcterms:modified>
</cp:coreProperties>
</file>