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P Cost Estimation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PS Uti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USD ]#,##0.00"/>
    <numFmt numFmtId="165" formatCode="[$IDR ]#,##0.00"/>
    <numFmt numFmtId="166" formatCode="[$Rp ]#,##0"/>
  </numFmts>
  <fonts count="13">
    <font>
      <name val="Calibri"/>
      <family val="2"/>
      <color theme="1"/>
      <sz val="11"/>
      <scheme val="minor"/>
    </font>
    <font>
      <name val="Arial"/>
      <color rgb="FF999999"/>
      <sz val="9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  <font>
      <name val="Google Sans"/>
      <b val="1"/>
      <color rgb="FFFFFFFF"/>
      <sz val="10"/>
    </font>
    <font>
      <name val="Google Sans"/>
      <b val="1"/>
      <color rgb="FF666666"/>
      <sz val="10"/>
    </font>
    <font>
      <name val="Google Sans"/>
      <color rgb="FF666666"/>
      <sz val="10"/>
    </font>
    <font>
      <name val="Google Sans"/>
      <b val="1"/>
      <sz val="9"/>
    </font>
    <font>
      <name val="Google Sans"/>
      <b val="1"/>
      <color rgb="FFFFFFFF"/>
      <sz val="9"/>
    </font>
    <font>
      <name val="Google Sans"/>
      <sz val="9"/>
    </font>
    <font>
      <name val="Google Sans"/>
      <b val="1"/>
      <sz val="10"/>
    </font>
    <font>
      <name val="Google Sans"/>
      <sz val="10"/>
    </font>
  </fonts>
  <fills count="1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4285F4"/>
      </patternFill>
    </fill>
    <fill>
      <patternFill patternType="solid">
        <fgColor rgb="FFFFF2CC"/>
      </patternFill>
    </fill>
    <fill>
      <patternFill patternType="solid">
        <fgColor rgb="FF3C78D8"/>
      </patternFill>
    </fill>
    <fill>
      <patternFill patternType="solid">
        <fgColor rgb="FFCCCCCC"/>
      </patternFill>
    </fill>
    <fill>
      <patternFill patternType="solid">
        <fgColor rgb="FF9FC5F8"/>
      </patternFill>
    </fill>
    <fill>
      <patternFill patternType="solid">
        <fgColor rgb="FFFFFFFF"/>
      </patternFill>
    </fill>
    <fill>
      <patternFill patternType="solid">
        <fgColor rgb="FF274E13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0" fillId="0" borderId="7" pivotButton="0" quotePrefix="0" xfId="0"/>
    <xf numFmtId="0" fontId="8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166" fontId="10" fillId="10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3" fontId="12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9" fontId="3" fillId="1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52" customWidth="1" min="4" max="4"/>
    <col width="15" customWidth="1" min="5" max="5"/>
    <col width="17" customWidth="1" min="6" max="6"/>
  </cols>
  <sheetData>
    <row r="1">
      <c r="A1" s="1" t="n">
        <v>16500</v>
      </c>
    </row>
    <row r="2">
      <c r="B2" s="2" t="inlineStr">
        <is>
          <t>PROTON CRM — Monthly Recurring (one production tenant)</t>
        </is>
      </c>
      <c r="C2" s="3" t="n"/>
      <c r="D2" s="3" t="n"/>
      <c r="E2" s="3" t="n"/>
      <c r="F2" s="4" t="n"/>
    </row>
    <row r="3">
      <c r="B3" s="5" t="inlineStr">
        <is>
          <t>No</t>
        </is>
      </c>
      <c r="C3" s="5" t="inlineStr">
        <is>
          <t>GCP Component</t>
        </is>
      </c>
      <c r="D3" s="5" t="inlineStr">
        <is>
          <t>Component Details</t>
        </is>
      </c>
      <c r="E3" s="5" t="inlineStr">
        <is>
          <t>Price (USD)</t>
        </is>
      </c>
      <c r="F3" s="5" t="inlineStr">
        <is>
          <t>Price (IDR)</t>
        </is>
      </c>
    </row>
    <row r="4" ht="42" customHeight="1">
      <c r="B4" s="6" t="n">
        <v>1</v>
      </c>
      <c r="C4" s="7" t="inlineStr">
        <is>
          <t>Google Kubernetes Engine (Standard) — cluster</t>
        </is>
      </c>
      <c r="D4" s="7" t="inlineStr">
        <is>
          <t>Region: Singapore (asia-southeast1)
Regional cluster management fee ($0.10/cluster/hr)
Multi-tenant: per-tenant namespaces + node pools</t>
        </is>
      </c>
      <c r="E4" s="8" t="n">
        <v>73</v>
      </c>
      <c r="F4" s="9">
        <f>E4*A$1</f>
        <v/>
      </c>
    </row>
    <row r="5" ht="28" customHeight="1">
      <c r="B5" s="6" t="n">
        <v>2</v>
      </c>
      <c r="C5" s="7" t="inlineStr">
        <is>
          <t>Google Kubernetes Engine (Standard) — node pool</t>
        </is>
      </c>
      <c r="D5" s="7" t="inlineStr">
        <is>
          <t>3 × e2-standard-4 (vCPUs: 4, RAM: 16 GiB), on-demand
Runs Chatwoot (Rails+Sidekiq), agent &amp; backend (FastAPI)</t>
        </is>
      </c>
      <c r="E5" s="8" t="n">
        <v>362.01</v>
      </c>
      <c r="F5" s="9">
        <f>E5*A$1</f>
        <v/>
      </c>
    </row>
    <row r="6" ht="70" customHeight="1">
      <c r="B6" s="6" t="n">
        <v>3</v>
      </c>
      <c r="C6" s="7" t="inlineStr">
        <is>
          <t>Cloud SQL for PostgreSQL (HA)</t>
        </is>
      </c>
      <c r="D6" s="7" t="inlineStr">
        <is>
          <t>Region: Singapore (asia-southeast1)
Enterprise edition, regional HA
Machine: 2 vCPU / 8 GiB RAM
Storage: 100 GB SSD
Chatwoot DB + per-tenant pgvector KB</t>
        </is>
      </c>
      <c r="E6" s="8" t="n">
        <v>300</v>
      </c>
      <c r="F6" s="9">
        <f>E6*A$1</f>
        <v/>
      </c>
    </row>
    <row r="7" ht="42" customHeight="1">
      <c r="B7" s="6" t="n">
        <v>4</v>
      </c>
      <c r="C7" s="7" t="inlineStr">
        <is>
          <t>Memorystore for Redis (HA)</t>
        </is>
      </c>
      <c r="D7" s="7" t="inlineStr">
        <is>
          <t>Standard tier (auto-failover replica)
Capacity: 4 GB
Sidekiq queues / cache</t>
        </is>
      </c>
      <c r="E7" s="8" t="n">
        <v>181.04</v>
      </c>
      <c r="F7" s="9">
        <f>E7*A$1</f>
        <v/>
      </c>
    </row>
    <row r="8" ht="42" customHeight="1">
      <c r="B8" s="6" t="n">
        <v>5</v>
      </c>
      <c r="C8" s="7" t="inlineStr">
        <is>
          <t>Vertex AI — Gemini 2.5 Flash + Vertex AI Search</t>
        </is>
      </c>
      <c r="D8" s="7" t="inlineStr">
        <is>
          <t>Usage-based (indicative)
~5,000 AI conversations/mo (~8k in + ~1.5k out tokens)
~5,000 grounded KB queries/mo</t>
        </is>
      </c>
      <c r="E8" s="8" t="n">
        <v>50.75</v>
      </c>
      <c r="F8" s="9">
        <f>E8*A$1</f>
        <v/>
      </c>
    </row>
    <row r="9" ht="42" customHeight="1">
      <c r="B9" s="6" t="n">
        <v>6</v>
      </c>
      <c r="C9" s="7" t="inlineStr">
        <is>
          <t>Cloud Storage</t>
        </is>
      </c>
      <c r="D9" s="7" t="inlineStr">
        <is>
          <t>Region: Singapore (asia-southeast1)
Class: Standard · 100 GB + modest egress
Attachments / exports</t>
        </is>
      </c>
      <c r="E9" s="8" t="n">
        <v>8.300000000000001</v>
      </c>
      <c r="F9" s="9">
        <f>E9*A$1</f>
        <v/>
      </c>
    </row>
    <row r="10" ht="28" customHeight="1">
      <c r="B10" s="6" t="n">
        <v>7</v>
      </c>
      <c r="C10" s="7" t="inlineStr">
        <is>
          <t>Networking — Cloud Load Balancing + egress</t>
        </is>
      </c>
      <c r="D10" s="7" t="inlineStr">
        <is>
          <t>1 external HTTP(S) forwarding rule + data processing
~100 GB internet egress/mo</t>
        </is>
      </c>
      <c r="E10" s="8" t="n">
        <v>31.85</v>
      </c>
      <c r="F10" s="9">
        <f>E10*A$1</f>
        <v/>
      </c>
    </row>
    <row r="11" ht="28" customHeight="1">
      <c r="B11" s="6" t="n">
        <v>8</v>
      </c>
      <c r="C11" s="7" t="inlineStr">
        <is>
          <t>Cloud Logging + Cloud Monitoring</t>
        </is>
      </c>
      <c r="D11" s="7" t="inlineStr">
        <is>
          <t>~100 GB log ingest/mo (first 50 GB free)
Metrics + alerting</t>
        </is>
      </c>
      <c r="E11" s="8" t="n">
        <v>25</v>
      </c>
      <c r="F11" s="9">
        <f>E11*A$1</f>
        <v/>
      </c>
    </row>
    <row r="12" ht="14" customHeight="1">
      <c r="B12" s="6" t="n">
        <v>9</v>
      </c>
      <c r="C12" s="7" t="inlineStr">
        <is>
          <t>Secret Manager + Artifact Registry + Cloud Build + BigQuery</t>
        </is>
      </c>
      <c r="D12" s="7" t="inlineStr">
        <is>
          <t>Secrets · container images · CI builds · analytics warehouse (storage + query)</t>
        </is>
      </c>
      <c r="E12" s="8" t="n">
        <v>17.25</v>
      </c>
      <c r="F12" s="9">
        <f>E12*A$1</f>
        <v/>
      </c>
    </row>
    <row r="13">
      <c r="B13" s="10" t="inlineStr">
        <is>
          <t>Total Price Estimation Per-Month</t>
        </is>
      </c>
      <c r="C13" s="3" t="n"/>
      <c r="D13" s="4" t="n"/>
      <c r="E13" s="11">
        <f>SUM(E4:E12)</f>
        <v/>
      </c>
      <c r="F13" s="12">
        <f>SUM(F4:F12)</f>
        <v/>
      </c>
    </row>
    <row r="14">
      <c r="B14" s="10" t="inlineStr">
        <is>
          <t>Total Price Estimation Per-Year</t>
        </is>
      </c>
      <c r="C14" s="3" t="n"/>
      <c r="D14" s="4" t="n"/>
      <c r="E14" s="11">
        <f>E13*12</f>
        <v/>
      </c>
      <c r="F14" s="12">
        <f>F13*12</f>
        <v/>
      </c>
    </row>
    <row r="15">
      <c r="B15" s="13" t="inlineStr">
        <is>
          <t>Calculator Link:  https://cloud.google.com/products/calculator</t>
        </is>
      </c>
      <c r="C15" s="3" t="n"/>
      <c r="D15" s="3" t="n"/>
      <c r="E15" s="3" t="n"/>
      <c r="F15" s="4" t="n"/>
    </row>
    <row r="17">
      <c r="B17" s="2" t="inlineStr">
        <is>
          <t>One-time — Migration Period *</t>
        </is>
      </c>
      <c r="C17" s="3" t="n"/>
      <c r="D17" s="3" t="n"/>
      <c r="E17" s="3" t="n"/>
      <c r="F17" s="4" t="n"/>
    </row>
    <row r="18">
      <c r="B18" s="5" t="inlineStr">
        <is>
          <t>No</t>
        </is>
      </c>
      <c r="C18" s="5" t="inlineStr">
        <is>
          <t>GCP Component</t>
        </is>
      </c>
      <c r="D18" s="5" t="inlineStr">
        <is>
          <t>Component Details</t>
        </is>
      </c>
      <c r="E18" s="5" t="inlineStr">
        <is>
          <t>Price (USD)</t>
        </is>
      </c>
      <c r="F18" s="5" t="inlineStr">
        <is>
          <t>Price (IDR)</t>
        </is>
      </c>
    </row>
    <row r="19" ht="14" customHeight="1">
      <c r="B19" s="6" t="n">
        <v>1</v>
      </c>
      <c r="C19" s="7" t="inlineStr">
        <is>
          <t>Cloud Storage — migration staging</t>
        </is>
      </c>
      <c r="D19" s="7" t="inlineStr">
        <is>
          <t>Zendesk export staging bucket (Standard, ~50 GB, short-lived)</t>
        </is>
      </c>
      <c r="E19" s="8" t="n">
        <v>5</v>
      </c>
      <c r="F19" s="9">
        <f>E19*A$1</f>
        <v/>
      </c>
    </row>
    <row r="20" ht="14" customHeight="1">
      <c r="B20" s="6" t="n">
        <v>2</v>
      </c>
      <c r="C20" s="7" t="inlineStr">
        <is>
          <t>Data transfer / egress — migration</t>
        </is>
      </c>
      <c r="D20" s="7" t="inlineStr">
        <is>
          <t>One-time import/export bandwidth for tickets, contacts, KB, attachments</t>
        </is>
      </c>
      <c r="E20" s="8" t="n">
        <v>15</v>
      </c>
      <c r="F20" s="9">
        <f>E20*A$1</f>
        <v/>
      </c>
    </row>
    <row r="21" ht="14" customHeight="1">
      <c r="B21" s="6" t="n">
        <v>3</v>
      </c>
      <c r="C21" s="7" t="inlineStr">
        <is>
          <t>Temporary migration compute</t>
        </is>
      </c>
      <c r="D21" s="7" t="inlineStr">
        <is>
          <t>Short-lived job for bulk import + KB ingest into Vertex AI Search / pgvector</t>
        </is>
      </c>
      <c r="E21" s="8" t="n">
        <v>20</v>
      </c>
      <c r="F21" s="9">
        <f>E21*A$1</f>
        <v/>
      </c>
    </row>
    <row r="22">
      <c r="B22" s="10" t="inlineStr">
        <is>
          <t>Total Price Estimation Per-Month</t>
        </is>
      </c>
      <c r="C22" s="3" t="n"/>
      <c r="D22" s="4" t="n"/>
      <c r="E22" s="11">
        <f>SUM(E19:E21)</f>
        <v/>
      </c>
      <c r="F22" s="12">
        <f>SUM(F19:F21)</f>
        <v/>
      </c>
    </row>
    <row r="23">
      <c r="B23" s="10" t="inlineStr">
        <is>
          <t>Total Price Estimation Per-Year</t>
        </is>
      </c>
      <c r="C23" s="3" t="n"/>
      <c r="D23" s="4" t="n"/>
      <c r="E23" s="11">
        <f>E22*12</f>
        <v/>
      </c>
      <c r="F23" s="12">
        <f>F22*12</f>
        <v/>
      </c>
    </row>
    <row r="24">
      <c r="B24" s="13" t="inlineStr">
        <is>
          <t>Calculator Link:  https://cloud.google.com/products/calculator</t>
        </is>
      </c>
      <c r="C24" s="3" t="n"/>
      <c r="D24" s="3" t="n"/>
      <c r="E24" s="3" t="n"/>
      <c r="F24" s="4" t="n"/>
    </row>
    <row r="25">
      <c r="B25" s="14" t="inlineStr">
        <is>
          <t>*one time only during migration process</t>
        </is>
      </c>
    </row>
    <row r="27" ht="42" customHeight="1">
      <c r="B27" s="15" t="inlineStr">
        <is>
          <t>IDR shown at USD→IDR = cell A1 (16,500, editable). Indicative GCP list price (Jul 2026, asia-southeast1 / Singapore — nearest full-service region; Malaysia region not yet GA). Excludes negotiated discounts, taxes &amp; Google program funding. 1-yr committed-use discount lowers nodes ~$233 → ~$920/mo total.</t>
        </is>
      </c>
    </row>
  </sheetData>
  <mergeCells count="9">
    <mergeCell ref="B14:D14"/>
    <mergeCell ref="B24:F24"/>
    <mergeCell ref="B2:F2"/>
    <mergeCell ref="B23:D23"/>
    <mergeCell ref="B15:F15"/>
    <mergeCell ref="B22:D22"/>
    <mergeCell ref="B13:D13"/>
    <mergeCell ref="B17:F17"/>
    <mergeCell ref="B27:F27"/>
  </mergeCells>
  <pageMargins left="0.2" right="0.2" top="0.3" bottom="0.3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T2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5" customWidth="1" min="3" max="3"/>
    <col width="46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</cols>
  <sheetData>
    <row r="2">
      <c r="B2" s="16" t="inlineStr">
        <is>
          <t>Phases</t>
        </is>
      </c>
      <c r="C2" s="4" t="n"/>
      <c r="D2" s="16" t="inlineStr">
        <is>
          <t>Task</t>
        </is>
      </c>
      <c r="E2" s="16" t="inlineStr">
        <is>
          <t>W1</t>
        </is>
      </c>
      <c r="F2" s="16" t="inlineStr">
        <is>
          <t>W2</t>
        </is>
      </c>
      <c r="G2" s="16" t="inlineStr">
        <is>
          <t>W3</t>
        </is>
      </c>
      <c r="H2" s="16" t="inlineStr">
        <is>
          <t>W4</t>
        </is>
      </c>
      <c r="I2" s="16" t="inlineStr">
        <is>
          <t>W5</t>
        </is>
      </c>
      <c r="J2" s="16" t="inlineStr">
        <is>
          <t>W6</t>
        </is>
      </c>
      <c r="K2" s="16" t="inlineStr">
        <is>
          <t>W7</t>
        </is>
      </c>
      <c r="L2" s="16" t="inlineStr">
        <is>
          <t>W8</t>
        </is>
      </c>
      <c r="M2" s="16" t="inlineStr">
        <is>
          <t>W9</t>
        </is>
      </c>
      <c r="N2" s="16" t="inlineStr">
        <is>
          <t>W10</t>
        </is>
      </c>
      <c r="O2" s="16" t="inlineStr">
        <is>
          <t>W11</t>
        </is>
      </c>
      <c r="P2" s="16" t="inlineStr">
        <is>
          <t>W12</t>
        </is>
      </c>
      <c r="Q2" s="16" t="inlineStr">
        <is>
          <t>W13</t>
        </is>
      </c>
      <c r="R2" s="16" t="inlineStr">
        <is>
          <t>W14</t>
        </is>
      </c>
      <c r="S2" s="16" t="inlineStr">
        <is>
          <t>W15</t>
        </is>
      </c>
      <c r="T2" s="16" t="inlineStr">
        <is>
          <t>W16</t>
        </is>
      </c>
    </row>
    <row r="3">
      <c r="B3" s="17" t="inlineStr">
        <is>
          <t>Assessment &amp; Planning</t>
        </is>
      </c>
      <c r="C3" s="3" t="n"/>
      <c r="D3" s="4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</row>
    <row r="4" ht="26" customHeight="1">
      <c r="B4" s="19" t="inlineStr">
        <is>
          <t>1.0</t>
        </is>
      </c>
      <c r="C4" s="20" t="inlineStr">
        <is>
          <t>1.1</t>
        </is>
      </c>
      <c r="D4" s="21" t="inlineStr">
        <is>
          <t>Kick-off, scope &amp; SOP validation; confirm requirements from BRD + Process-Flow workbook</t>
        </is>
      </c>
      <c r="E4" s="22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</row>
    <row r="5" ht="26" customHeight="1">
      <c r="B5" s="24" t="n"/>
      <c r="C5" s="20" t="inlineStr">
        <is>
          <t>1.2</t>
        </is>
      </c>
      <c r="D5" s="21" t="inlineStr">
        <is>
          <t>Solution architecture, migration plan &amp; GCP landing zone design (GKE Standard, VPC, IAM)</t>
        </is>
      </c>
      <c r="E5" s="22" t="n"/>
      <c r="F5" s="22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</row>
    <row r="6">
      <c r="B6" s="25" t="inlineStr">
        <is>
          <t>GCP Foundation &amp; Provisioning</t>
        </is>
      </c>
      <c r="C6" s="3" t="n"/>
      <c r="D6" s="4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</row>
    <row r="7" ht="26" customHeight="1">
      <c r="B7" s="19" t="inlineStr">
        <is>
          <t>2.0</t>
        </is>
      </c>
      <c r="C7" s="20" t="inlineStr">
        <is>
          <t>2.1</t>
        </is>
      </c>
      <c r="D7" s="21" t="inlineStr">
        <is>
          <t>Provision GCP project, VPC, GKE Standard cluster + node pools, Cloud SQL, Memorystore, BigQuery</t>
        </is>
      </c>
      <c r="E7" s="23" t="n"/>
      <c r="F7" s="22" t="n"/>
      <c r="G7" s="22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</row>
    <row r="8" ht="26" customHeight="1">
      <c r="B8" s="24" t="n"/>
      <c r="C8" s="20" t="inlineStr">
        <is>
          <t>2.2</t>
        </is>
      </c>
      <c r="D8" s="21" t="inlineStr">
        <is>
          <t>CI/CD (Artifact Registry + Cloud Build), Secret Manager, monitoring baseline</t>
        </is>
      </c>
      <c r="E8" s="23" t="n"/>
      <c r="F8" s="22" t="n"/>
      <c r="G8" s="22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</row>
    <row r="9">
      <c r="B9" s="17" t="inlineStr">
        <is>
          <t>Core Platform Cutover</t>
        </is>
      </c>
      <c r="C9" s="3" t="n"/>
      <c r="D9" s="4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</row>
    <row r="10" ht="26" customHeight="1">
      <c r="B10" s="19" t="inlineStr">
        <is>
          <t>3.0</t>
        </is>
      </c>
      <c r="C10" s="20" t="inlineStr">
        <is>
          <t>3.1</t>
        </is>
      </c>
      <c r="D10" s="21" t="inlineStr">
        <is>
          <t>Deploy Chatwoot + agent + backend on GKE Standard + Cloud SQL</t>
        </is>
      </c>
      <c r="E10" s="23" t="n"/>
      <c r="F10" s="23" t="n"/>
      <c r="G10" s="22" t="n"/>
      <c r="H10" s="22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</row>
    <row r="11" ht="26" customHeight="1">
      <c r="B11" s="27" t="n"/>
      <c r="C11" s="20" t="inlineStr">
        <is>
          <t>3.2</t>
        </is>
      </c>
      <c r="D11" s="21" t="inlineStr">
        <is>
          <t>Zendesk data migration (tickets, contacts, KB, attachments) + parallel-run</t>
        </is>
      </c>
      <c r="E11" s="23" t="n"/>
      <c r="F11" s="23" t="n"/>
      <c r="G11" s="23" t="n"/>
      <c r="H11" s="22" t="n"/>
      <c r="I11" s="22" t="n"/>
      <c r="J11" s="22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</row>
    <row r="12" ht="26" customHeight="1">
      <c r="B12" s="27" t="n"/>
      <c r="C12" s="20" t="inlineStr">
        <is>
          <t>3.3</t>
        </is>
      </c>
      <c r="D12" s="21" t="inlineStr">
        <is>
          <t>Wire channels: WhatsApp (Twilio), Website, API; KB migration to Vertex AI Search</t>
        </is>
      </c>
      <c r="E12" s="23" t="n"/>
      <c r="F12" s="23" t="n"/>
      <c r="G12" s="23" t="n"/>
      <c r="H12" s="22" t="n"/>
      <c r="I12" s="22" t="n"/>
      <c r="J12" s="22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</row>
    <row r="13" ht="26" customHeight="1">
      <c r="B13" s="24" t="n"/>
      <c r="C13" s="20" t="inlineStr">
        <is>
          <t>3.4</t>
        </is>
      </c>
      <c r="D13" s="21" t="inlineStr">
        <is>
          <t>AI layer + SOP lifecycle flows (disclaimer, idle-close, YES/NO, rating, auto-classify)</t>
        </is>
      </c>
      <c r="E13" s="23" t="n"/>
      <c r="F13" s="23" t="n"/>
      <c r="G13" s="23" t="n"/>
      <c r="H13" s="23" t="n"/>
      <c r="I13" s="22" t="n"/>
      <c r="J13" s="22" t="n"/>
      <c r="K13" s="22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</row>
    <row r="14">
      <c r="B14" s="25" t="inlineStr">
        <is>
          <t>Gap Closure (P2 priorities)</t>
        </is>
      </c>
      <c r="C14" s="3" t="n"/>
      <c r="D14" s="4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</row>
    <row r="15" ht="26" customHeight="1">
      <c r="B15" s="19" t="inlineStr">
        <is>
          <t>4.0</t>
        </is>
      </c>
      <c r="C15" s="20" t="inlineStr">
        <is>
          <t>4.1</t>
        </is>
      </c>
      <c r="D15" s="21" t="inlineStr">
        <is>
          <t>Email escalation — auto-ack once/thread + separate internal case (SOP-driven)</t>
        </is>
      </c>
      <c r="E15" s="23" t="n"/>
      <c r="F15" s="23" t="n"/>
      <c r="G15" s="23" t="n"/>
      <c r="H15" s="23" t="n"/>
      <c r="I15" s="23" t="n"/>
      <c r="J15" s="22" t="n"/>
      <c r="K15" s="22" t="n"/>
      <c r="L15" s="22" t="n"/>
      <c r="M15" s="23" t="n"/>
      <c r="N15" s="23" t="n"/>
      <c r="O15" s="23" t="n"/>
      <c r="P15" s="23" t="n"/>
      <c r="Q15" s="23" t="n"/>
      <c r="R15" s="23" t="n"/>
      <c r="S15" s="23" t="n"/>
      <c r="T15" s="23" t="n"/>
    </row>
    <row r="16" ht="26" customHeight="1">
      <c r="B16" s="27" t="n"/>
      <c r="C16" s="20" t="inlineStr">
        <is>
          <t>4.2</t>
        </is>
      </c>
      <c r="D16" s="21" t="inlineStr">
        <is>
          <t>Customer 360 + DMS/TSP integration (4-section card, &lt;3s sync)</t>
        </is>
      </c>
      <c r="E16" s="23" t="n"/>
      <c r="F16" s="23" t="n"/>
      <c r="G16" s="23" t="n"/>
      <c r="H16" s="23" t="n"/>
      <c r="I16" s="23" t="n"/>
      <c r="J16" s="23" t="n"/>
      <c r="K16" s="22" t="n"/>
      <c r="L16" s="22" t="n"/>
      <c r="M16" s="22" t="n"/>
      <c r="N16" s="22" t="n"/>
      <c r="O16" s="22" t="n"/>
      <c r="P16" s="23" t="n"/>
      <c r="Q16" s="23" t="n"/>
      <c r="R16" s="23" t="n"/>
      <c r="S16" s="23" t="n"/>
      <c r="T16" s="23" t="n"/>
    </row>
    <row r="17" ht="26" customHeight="1">
      <c r="B17" s="27" t="n"/>
      <c r="C17" s="20" t="inlineStr">
        <is>
          <t>4.3</t>
        </is>
      </c>
      <c r="D17" s="21" t="inlineStr">
        <is>
          <t>Case management — hierarchical categories, per-ticket dashboard, RBAC</t>
        </is>
      </c>
      <c r="E17" s="23" t="n"/>
      <c r="F17" s="23" t="n"/>
      <c r="G17" s="23" t="n"/>
      <c r="H17" s="23" t="n"/>
      <c r="I17" s="23" t="n"/>
      <c r="J17" s="23" t="n"/>
      <c r="K17" s="23" t="n"/>
      <c r="L17" s="22" t="n"/>
      <c r="M17" s="22" t="n"/>
      <c r="N17" s="22" t="n"/>
      <c r="O17" s="22" t="n"/>
      <c r="P17" s="23" t="n"/>
      <c r="Q17" s="23" t="n"/>
      <c r="R17" s="23" t="n"/>
      <c r="S17" s="23" t="n"/>
      <c r="T17" s="23" t="n"/>
    </row>
    <row r="18" ht="26" customHeight="1">
      <c r="B18" s="27" t="n"/>
      <c r="C18" s="20" t="inlineStr">
        <is>
          <t>4.4</t>
        </is>
      </c>
      <c r="D18" s="21" t="inlineStr">
        <is>
          <t>Reporting &amp; BI — BigQuery + Power BI, role-based views, anomaly dashboard, NPS/CRR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2" t="n"/>
      <c r="N18" s="22" t="n"/>
      <c r="O18" s="22" t="n"/>
      <c r="P18" s="22" t="n"/>
      <c r="Q18" s="23" t="n"/>
      <c r="R18" s="23" t="n"/>
      <c r="S18" s="23" t="n"/>
      <c r="T18" s="23" t="n"/>
    </row>
    <row r="19" ht="26" customHeight="1">
      <c r="B19" s="24" t="n"/>
      <c r="C19" s="20" t="inlineStr">
        <is>
          <t>4.5</t>
        </is>
      </c>
      <c r="D19" s="21" t="inlineStr">
        <is>
          <t>Agent management (channel priority, auto-busy) + multimodal / language + bulk KB upload</t>
        </is>
      </c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2" t="n"/>
      <c r="O19" s="22" t="n"/>
      <c r="P19" s="22" t="n"/>
      <c r="Q19" s="23" t="n"/>
      <c r="R19" s="23" t="n"/>
      <c r="S19" s="23" t="n"/>
      <c r="T19" s="23" t="n"/>
    </row>
    <row r="20">
      <c r="B20" s="17" t="inlineStr">
        <is>
          <t>Hardening, UAT &amp; Handover</t>
        </is>
      </c>
      <c r="C20" s="3" t="n"/>
      <c r="D20" s="4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</row>
    <row r="21" ht="26" customHeight="1">
      <c r="B21" s="19" t="inlineStr">
        <is>
          <t>5.0</t>
        </is>
      </c>
      <c r="C21" s="20" t="inlineStr">
        <is>
          <t>5.1</t>
        </is>
      </c>
      <c r="D21" s="21" t="inlineStr">
        <is>
          <t>HA / autoscaling, monitoring &amp; alerting, backups / DR</t>
        </is>
      </c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2" t="n"/>
      <c r="Q21" s="22" t="n"/>
      <c r="R21" s="22" t="n"/>
      <c r="S21" s="23" t="n"/>
      <c r="T21" s="23" t="n"/>
    </row>
    <row r="22" ht="26" customHeight="1">
      <c r="B22" s="27" t="n"/>
      <c r="C22" s="20" t="inlineStr">
        <is>
          <t>5.2</t>
        </is>
      </c>
      <c r="D22" s="21" t="inlineStr">
        <is>
          <t>UAT, data reconciliation &amp; sign-off</t>
        </is>
      </c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2" t="n"/>
      <c r="R22" s="22" t="n"/>
      <c r="S22" s="22" t="n"/>
      <c r="T22" s="23" t="n"/>
    </row>
    <row r="23" ht="26" customHeight="1">
      <c r="B23" s="24" t="n"/>
      <c r="C23" s="20" t="inlineStr">
        <is>
          <t>5.3</t>
        </is>
      </c>
      <c r="D23" s="21" t="inlineStr">
        <is>
          <t>Cut-over, Zendesk decommission, ops runbook + admin/agent training</t>
        </is>
      </c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2" t="n"/>
      <c r="T23" s="22" t="n"/>
    </row>
  </sheetData>
  <mergeCells count="11">
    <mergeCell ref="B3:D3"/>
    <mergeCell ref="B2:C2"/>
    <mergeCell ref="B14:D14"/>
    <mergeCell ref="B4:B5"/>
    <mergeCell ref="B21:B23"/>
    <mergeCell ref="B7:B8"/>
    <mergeCell ref="B9:D9"/>
    <mergeCell ref="B15:B19"/>
    <mergeCell ref="B6:D6"/>
    <mergeCell ref="B10:B13"/>
    <mergeCell ref="B20:D20"/>
  </mergeCells>
  <pageMargins left="0.2" right="0.2" top="0.3" bottom="0.3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52" customWidth="1" min="3" max="3"/>
    <col width="20" customWidth="1" min="4" max="4"/>
    <col width="11" customWidth="1" min="5" max="5"/>
    <col width="18" customWidth="1" min="6" max="6"/>
    <col width="2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2" customWidth="1" min="16" max="16"/>
    <col width="20" customWidth="1" min="17" max="17"/>
    <col width="18" customWidth="1" min="18" max="18"/>
    <col width="15" customWidth="1" min="19" max="19"/>
  </cols>
  <sheetData>
    <row r="1">
      <c r="A1" s="1" t="n">
        <v>16500</v>
      </c>
    </row>
    <row r="2">
      <c r="Q2" s="28" t="inlineStr">
        <is>
          <t>Role / Seniority</t>
        </is>
      </c>
      <c r="R2" s="29" t="inlineStr">
        <is>
          <t>Sales price / hour (IDR)</t>
        </is>
      </c>
      <c r="S2" s="29" t="inlineStr">
        <is>
          <t>Per day (× 8)</t>
        </is>
      </c>
    </row>
    <row r="3">
      <c r="B3" s="30" t="inlineStr">
        <is>
          <t>Professional Services — PROTON CRM (self-managed on Google Cloud)</t>
        </is>
      </c>
      <c r="C3" s="3" t="n"/>
      <c r="D3" s="3" t="n"/>
      <c r="E3" s="3" t="n"/>
      <c r="F3" s="4" t="n"/>
      <c r="I3" s="31" t="inlineStr">
        <is>
          <t>Lead Consultant</t>
        </is>
      </c>
      <c r="J3" s="31" t="inlineStr">
        <is>
          <t>Principal</t>
        </is>
      </c>
      <c r="K3" s="31" t="inlineStr">
        <is>
          <t>Senior Consultant</t>
        </is>
      </c>
      <c r="L3" s="31" t="inlineStr">
        <is>
          <t>Consultant</t>
        </is>
      </c>
      <c r="M3" s="31" t="inlineStr">
        <is>
          <t>Senior Consultant</t>
        </is>
      </c>
      <c r="N3" s="31" t="inlineStr">
        <is>
          <t>Consultant</t>
        </is>
      </c>
      <c r="O3" s="32" t="inlineStr">
        <is>
          <t>Total</t>
        </is>
      </c>
      <c r="Q3" s="33" t="inlineStr">
        <is>
          <t>Consultant</t>
        </is>
      </c>
      <c r="R3" s="34" t="n">
        <v>350000</v>
      </c>
      <c r="S3" s="34">
        <f>R3*8</f>
        <v/>
      </c>
    </row>
    <row r="4">
      <c r="B4" s="30" t="inlineStr">
        <is>
          <t>Milestone</t>
        </is>
      </c>
      <c r="C4" s="30" t="inlineStr">
        <is>
          <t>Activity</t>
        </is>
      </c>
      <c r="D4" s="30" t="inlineStr">
        <is>
          <t>Resources</t>
        </is>
      </c>
      <c r="E4" s="30" t="inlineStr">
        <is>
          <t>Duration (Week)</t>
        </is>
      </c>
      <c r="F4" s="30" t="inlineStr">
        <is>
          <t>Service Price</t>
        </is>
      </c>
      <c r="H4" s="35" t="inlineStr">
        <is>
          <t>Duration (Days)</t>
        </is>
      </c>
      <c r="I4" s="31" t="inlineStr">
        <is>
          <t>Project Manager</t>
        </is>
      </c>
      <c r="J4" s="31" t="inlineStr">
        <is>
          <t>Solution Architect / Tech Lead</t>
        </is>
      </c>
      <c r="K4" s="31" t="inlineStr">
        <is>
          <t>Backend / AI Engineer</t>
        </is>
      </c>
      <c r="L4" s="31" t="inlineStr">
        <is>
          <t>Frontend Engineer</t>
        </is>
      </c>
      <c r="M4" s="31" t="inlineStr">
        <is>
          <t>Data / BI Engineer</t>
        </is>
      </c>
      <c r="N4" s="31" t="inlineStr">
        <is>
          <t>QA Engineer</t>
        </is>
      </c>
      <c r="O4" s="36" t="inlineStr">
        <is>
          <t>(mandays)</t>
        </is>
      </c>
      <c r="Q4" s="33" t="inlineStr">
        <is>
          <t>Senior Consultant</t>
        </is>
      </c>
      <c r="R4" s="34" t="n">
        <v>606250</v>
      </c>
      <c r="S4" s="34">
        <f>R4*8</f>
        <v/>
      </c>
    </row>
    <row r="5" ht="60" customHeight="1">
      <c r="B5" s="37" t="inlineStr">
        <is>
          <t>Phase 1 : Assessment &amp; Planning</t>
        </is>
      </c>
      <c r="C5" s="37" t="inlineStr">
        <is>
          <t>Kick-off, scope &amp; SOP validation; confirm requirements from BRD + Process-Flow workbook; solution architecture &amp; migration plan.</t>
        </is>
      </c>
      <c r="D5" s="37" t="inlineStr">
        <is>
          <t>Project Manager
Solution Architect
Backend/AI Engineer
Data/BI Engineer</t>
        </is>
      </c>
      <c r="E5" s="38" t="n">
        <v>2</v>
      </c>
      <c r="F5" s="39">
        <f>ROUNDUP(O13,-2)</f>
        <v/>
      </c>
      <c r="H5" s="40">
        <f>E5*5</f>
        <v/>
      </c>
      <c r="I5" s="40" t="n">
        <v>3</v>
      </c>
      <c r="J5" s="40" t="n">
        <v>6</v>
      </c>
      <c r="K5" s="40" t="n">
        <v>4</v>
      </c>
      <c r="L5" s="40" t="n">
        <v>0</v>
      </c>
      <c r="M5" s="40" t="n">
        <v>2</v>
      </c>
      <c r="N5" s="40" t="n">
        <v>1</v>
      </c>
      <c r="O5" s="40">
        <f>SUM(I5:N5)</f>
        <v/>
      </c>
      <c r="Q5" s="33" t="inlineStr">
        <is>
          <t>Lead Consultant</t>
        </is>
      </c>
      <c r="R5" s="34" t="n">
        <v>700000</v>
      </c>
      <c r="S5" s="34">
        <f>R5*8</f>
        <v/>
      </c>
    </row>
    <row r="6" ht="60" customHeight="1">
      <c r="B6" s="37" t="inlineStr">
        <is>
          <t>Phase 2 : GCP Foundation &amp; Provisioning</t>
        </is>
      </c>
      <c r="C6" s="37" t="inlineStr">
        <is>
          <t>Provision GCP project, VPC, GKE Standard cluster + node pools, Cloud SQL, Memorystore, BigQuery; CI/CD, Secret Manager, monitoring baseline.</t>
        </is>
      </c>
      <c r="D6" s="37" t="inlineStr">
        <is>
          <t>Solution Architect
DevOps / Backend
Data/BI Engineer</t>
        </is>
      </c>
      <c r="E6" s="38" t="n">
        <v>2</v>
      </c>
      <c r="F6" s="27" t="n"/>
      <c r="H6" s="40">
        <f>E6*5</f>
        <v/>
      </c>
      <c r="I6" s="40" t="n">
        <v>3</v>
      </c>
      <c r="J6" s="40" t="n">
        <v>6</v>
      </c>
      <c r="K6" s="40" t="n">
        <v>8</v>
      </c>
      <c r="L6" s="40" t="n">
        <v>1</v>
      </c>
      <c r="M6" s="40" t="n">
        <v>2</v>
      </c>
      <c r="N6" s="40" t="n">
        <v>1</v>
      </c>
      <c r="O6" s="40">
        <f>SUM(I6:N6)</f>
        <v/>
      </c>
      <c r="Q6" s="33" t="inlineStr">
        <is>
          <t>Principal</t>
        </is>
      </c>
      <c r="R6" s="34" t="n">
        <v>825000</v>
      </c>
      <c r="S6" s="34">
        <f>R6*8</f>
        <v/>
      </c>
    </row>
    <row r="7" ht="60" customHeight="1">
      <c r="B7" s="37" t="inlineStr">
        <is>
          <t>Phase 3 : Core Platform Cutover</t>
        </is>
      </c>
      <c r="C7" s="37" t="inlineStr">
        <is>
          <t>Deploy Chatwoot + agent + backend on GKE Standard + Cloud SQL; Zendesk data migration + parallel-run; wire WhatsApp/Web/API; KB migration; AI + SOP lifecycle flows.</t>
        </is>
      </c>
      <c r="D7" s="37" t="inlineStr">
        <is>
          <t>Project Manager
Backend/AI Engineer
Frontend Engineer
Data/BI Engineer
QA</t>
        </is>
      </c>
      <c r="E7" s="38" t="n">
        <v>4</v>
      </c>
      <c r="F7" s="27" t="n"/>
      <c r="H7" s="40">
        <f>E7*5</f>
        <v/>
      </c>
      <c r="I7" s="40" t="n">
        <v>5</v>
      </c>
      <c r="J7" s="40" t="n">
        <v>5</v>
      </c>
      <c r="K7" s="40" t="n">
        <v>26</v>
      </c>
      <c r="L7" s="40" t="n">
        <v>8</v>
      </c>
      <c r="M7" s="40" t="n">
        <v>6</v>
      </c>
      <c r="N7" s="40" t="n">
        <v>6</v>
      </c>
      <c r="O7" s="40">
        <f>SUM(I7:N7)</f>
        <v/>
      </c>
      <c r="Q7" s="33" t="inlineStr">
        <is>
          <t>Expert / Director</t>
        </is>
      </c>
      <c r="R7" s="34" t="n">
        <v>1275000</v>
      </c>
      <c r="S7" s="34">
        <f>R7*8</f>
        <v/>
      </c>
    </row>
    <row r="8" ht="60" customHeight="1">
      <c r="B8" s="37" t="inlineStr">
        <is>
          <t>Phase 4 : Gap Closure (P2 priorities)</t>
        </is>
      </c>
      <c r="C8" s="37" t="inlineStr">
        <is>
          <t>Email escalation; Customer 360 + DMS/TSP; case management + hierarchical categories + RBAC; reporting &amp; Power BI; agent management + multimodal / language + bulk KB upload.</t>
        </is>
      </c>
      <c r="D8" s="37" t="inlineStr">
        <is>
          <t>Backend/AI Engineer
Frontend Engineer
Data/BI Engineer
QA</t>
        </is>
      </c>
      <c r="E8" s="38" t="n">
        <v>6</v>
      </c>
      <c r="F8" s="27" t="n"/>
      <c r="H8" s="40">
        <f>E8*5</f>
        <v/>
      </c>
      <c r="I8" s="40" t="n">
        <v>6</v>
      </c>
      <c r="J8" s="40" t="n">
        <v>5</v>
      </c>
      <c r="K8" s="40" t="n">
        <v>40</v>
      </c>
      <c r="L8" s="40" t="n">
        <v>20</v>
      </c>
      <c r="M8" s="40" t="n">
        <v>16</v>
      </c>
      <c r="N8" s="40" t="n">
        <v>12</v>
      </c>
      <c r="O8" s="40">
        <f>SUM(I8:N8)</f>
        <v/>
      </c>
      <c r="Q8" s="33" t="inlineStr">
        <is>
          <t>Margin</t>
        </is>
      </c>
      <c r="R8" s="41" t="n">
        <v>0.15</v>
      </c>
    </row>
    <row r="9" ht="60" customHeight="1">
      <c r="B9" s="37" t="inlineStr">
        <is>
          <t>Phase 5 : Hardening, HA &amp; UAT</t>
        </is>
      </c>
      <c r="C9" s="37" t="inlineStr">
        <is>
          <t>HA / autoscaling, monitoring &amp; alerting, backups / DR; UAT, data reconciliation &amp; sign-off.</t>
        </is>
      </c>
      <c r="D9" s="37" t="inlineStr">
        <is>
          <t>DevOps / Backend
QA
Project Manager</t>
        </is>
      </c>
      <c r="E9" s="38" t="n">
        <v>2</v>
      </c>
      <c r="F9" s="27" t="n"/>
      <c r="H9" s="40">
        <f>E9*5</f>
        <v/>
      </c>
      <c r="I9" s="40" t="n">
        <v>4</v>
      </c>
      <c r="J9" s="40" t="n">
        <v>2</v>
      </c>
      <c r="K9" s="40" t="n">
        <v>12</v>
      </c>
      <c r="L9" s="40" t="n">
        <v>4</v>
      </c>
      <c r="M9" s="40" t="n">
        <v>2</v>
      </c>
      <c r="N9" s="40" t="n">
        <v>12</v>
      </c>
      <c r="O9" s="40">
        <f>SUM(I9:N9)</f>
        <v/>
      </c>
    </row>
    <row r="10" ht="60" customHeight="1">
      <c r="B10" s="37" t="inlineStr">
        <is>
          <t>Phase 6 : Cutover, Handover &amp; Training</t>
        </is>
      </c>
      <c r="C10" s="37" t="inlineStr">
        <is>
          <t>Cut-over, Zendesk decommission; ops runbook + admin/agent training + knowledge transfer.</t>
        </is>
      </c>
      <c r="D10" s="37" t="inlineStr">
        <is>
          <t>Project Manager
Backend/AI Engineer
Technical Writer</t>
        </is>
      </c>
      <c r="E10" s="38" t="n">
        <v>2</v>
      </c>
      <c r="F10" s="24" t="n"/>
      <c r="H10" s="40">
        <f>E10*5</f>
        <v/>
      </c>
      <c r="I10" s="40" t="n">
        <v>3</v>
      </c>
      <c r="J10" s="40" t="n">
        <v>2</v>
      </c>
      <c r="K10" s="40" t="n">
        <v>10</v>
      </c>
      <c r="L10" s="40" t="n">
        <v>3</v>
      </c>
      <c r="M10" s="40" t="n">
        <v>2</v>
      </c>
      <c r="N10" s="40" t="n">
        <v>4</v>
      </c>
      <c r="O10" s="40">
        <f>SUM(I10:N10)</f>
        <v/>
      </c>
    </row>
    <row r="11">
      <c r="H11" s="42" t="inlineStr">
        <is>
          <t>Total Mandays</t>
        </is>
      </c>
      <c r="I11" s="6">
        <f>SUM(I5:I10)</f>
        <v/>
      </c>
      <c r="J11" s="6">
        <f>SUM(J5:J10)</f>
        <v/>
      </c>
      <c r="K11" s="6">
        <f>SUM(K5:K10)</f>
        <v/>
      </c>
      <c r="L11" s="6">
        <f>SUM(L5:L10)</f>
        <v/>
      </c>
      <c r="M11" s="6">
        <f>SUM(M5:M10)</f>
        <v/>
      </c>
      <c r="N11" s="6">
        <f>SUM(N5:N10)</f>
        <v/>
      </c>
      <c r="O11" s="43">
        <f>SUM(I11:N11)</f>
        <v/>
      </c>
    </row>
    <row r="12">
      <c r="H12" s="42" t="inlineStr">
        <is>
          <t>Total Mandays Price</t>
        </is>
      </c>
      <c r="I12" s="44">
        <f>I11*8*$R$5</f>
        <v/>
      </c>
      <c r="J12" s="44">
        <f>J11*8*$R$6</f>
        <v/>
      </c>
      <c r="K12" s="44">
        <f>K11*8*$R$4</f>
        <v/>
      </c>
      <c r="L12" s="44">
        <f>L11*8*$R$3</f>
        <v/>
      </c>
      <c r="M12" s="44">
        <f>M11*8*$R$4</f>
        <v/>
      </c>
      <c r="N12" s="44">
        <f>N11*8*$R$3</f>
        <v/>
      </c>
      <c r="O12" s="45">
        <f>SUM(I12:N12)</f>
        <v/>
      </c>
    </row>
    <row r="13">
      <c r="H13" s="46" t="inlineStr">
        <is>
          <t>Total Price Including Margin</t>
        </is>
      </c>
      <c r="I13" s="23" t="n"/>
      <c r="J13" s="3" t="n"/>
      <c r="K13" s="3" t="n"/>
      <c r="L13" s="3" t="n"/>
      <c r="M13" s="3" t="n"/>
      <c r="N13" s="4" t="n"/>
      <c r="O13" s="45">
        <f>O12*(1+$R$8)</f>
        <v/>
      </c>
    </row>
    <row r="15">
      <c r="B15" s="15" t="inlineStr">
        <is>
          <t>Mandays are an indicative delivery estimate; day-rates &amp; margin are editable in the rate card (Q:S). Rp figures use the rates above; USD equivalent at A1 rate. May be offset by Google program funding.</t>
        </is>
      </c>
    </row>
  </sheetData>
  <mergeCells count="4">
    <mergeCell ref="F5:F10"/>
    <mergeCell ref="I13:N13"/>
    <mergeCell ref="B15:H15"/>
    <mergeCell ref="B3:F3"/>
  </mergeCells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2026-07-30T01:13:56Z</dcterms:created>
  <dcterms:modified xmlns:dcterms="http://purl.org/dc/terms/" xmlns:xsi="http://www.w3.org/2001/XMLSchema-instance" xsi:type="dcterms:W3CDTF">2026-07-30T01:13:56Z</dcterms:modified>
</cp:coreProperties>
</file>